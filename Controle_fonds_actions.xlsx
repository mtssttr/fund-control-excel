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8.xml" ContentType="application/vnd.openxmlformats-officedocument.spreadsheetml.workshee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onnections.xml" ContentType="application/vnd.openxmlformats-officedocument.spreadsheetml.connections+xml"/>
  <Override PartName="/customXml/item1.xml" ContentType="application/xml"/>
  <Override PartName="/customXml/itemProps1.xml" ContentType="application/vnd.openxmlformats-officedocument.customXml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f3ee290c453a" /></Relationships>
</file>

<file path=xl/workbook.xml><?xml version="1.0" encoding="utf-8"?>
<workbook xmlns:r="http://schemas.openxmlformats.org/officeDocument/2006/relationships" xmlns="http://schemas.openxmlformats.org/spreadsheetml/2006/main">
  <sheets>
    <sheet xmlns:r="http://schemas.openxmlformats.org/officeDocument/2006/relationships" name="Pilotage" sheetId="1" r:id="Rb0b2f5aa69534921"/>
    <sheet xmlns:r="http://schemas.openxmlformats.org/officeDocument/2006/relationships" name="Calculs" sheetId="2" r:id="R342e4610ccfa47bc"/>
    <sheet xmlns:r="http://schemas.openxmlformats.org/officeDocument/2006/relationships" name="Rapprochements" sheetId="3" r:id="R7b6e48ac37bc4450"/>
    <sheet xmlns:r="http://schemas.openxmlformats.org/officeDocument/2006/relationships" name="Anomalies" sheetId="4" r:id="R7df0466ec5134f24"/>
    <sheet xmlns:r="http://schemas.openxmlformats.org/officeDocument/2006/relationships" name="Transactions" sheetId="5" r:id="R77b46b65fce94793"/>
    <sheet xmlns:r="http://schemas.openxmlformats.org/officeDocument/2006/relationships" name="Dépositaire" sheetId="6" r:id="Ree91b264a66c48e7"/>
    <sheet xmlns:r="http://schemas.openxmlformats.org/officeDocument/2006/relationships" name="Marché" sheetId="7" r:id="R5c891b22b7684bfd"/>
    <sheet xmlns:r="http://schemas.openxmlformats.org/officeDocument/2006/relationships" name="Guide" sheetId="8" r:id="R8d4f921d517e4971"/>
  </sheets>
  <definedNames>
    <definedName name="p_DossierSource">'Pilotage'!$B$57</definedName>
    <definedName name="DatesGraph">OFFSET('Pilotage'!$B$21,0,0,COUNT('Pilotage'!$B$21:$B$40),1)</definedName>
    <definedName name="VLGraph">OFFSET('Pilotage'!$Q$21,0,0,COUNT('Pilotage'!$B$21:$B$40),1)</definedName>
    <definedName name="ExternalData_1" localSheetId="4" hidden="1">'Transactions'!$B$6:$L$31</definedName>
    <definedName name="ExternalData_2" localSheetId="4" hidden="1">'Transactions'!$O$6:$R$7</definedName>
    <definedName name="ExternalData_3" localSheetId="5" hidden="1">'Dépositaire'!$B$6:$L$31</definedName>
    <definedName name="ExternalData_4" localSheetId="5" hidden="1">'Dépositaire'!$O$6:$Q$56</definedName>
    <definedName name="ExternalData_5" localSheetId="5" hidden="1">'Dépositaire'!$T$6:$U$16</definedName>
    <definedName name="ExternalData_6" localSheetId="5" hidden="1">'Dépositaire'!$X$6:$AA$16</definedName>
    <definedName name="ExternalData_7" localSheetId="5" hidden="1">'Dépositaire'!$T$30:$W$31</definedName>
    <definedName name="ExternalData_8" localSheetId="6" hidden="1">'Marché'!$B$6:$G$56</definedName>
    <definedName name="ExternalData_9" localSheetId="4" hidden="1">'Transactions'!$T$6:$Z$7</definedName>
  </definedNames>
  <calcPr calcMode="auto" fullCalcOnLoad="1"/>
  <pivotCaches>
    <pivotCache cacheId="1" r:id="rId3"/>
  </pivotCaches>
</workbook>
</file>

<file path=xl/connections.xml><?xml version="1.0" encoding="utf-8"?>
<connections xmlns="http://schemas.openxmlformats.org/spreadsheetml/2006/main">
  <connection id="1" keepAlive="1" name="Query - q_Transactions" description="Import CSV local q_Transactions" type="5" refreshedVersion="7" background="0" saveData="1">
    <dbPr connection="Provider=Microsoft.Mashup.OleDb.1;Data Source=$Workbook$;Location=q_Transactions;Extended Properties=&quot;&quot;" command="SELECT * FROM [q_Transactions]"/>
  </connection>
  <connection id="2" keepAlive="1" name="Query - q_CashInterne" description="Import CSV local q_CashInterne" type="5" refreshedVersion="7" background="0" saveData="1">
    <dbPr connection="Provider=Microsoft.Mashup.OleDb.1;Data Source=$Workbook$;Location=q_CashInterne;Extended Properties=&quot;&quot;" command="SELECT * FROM [q_CashInterne]"/>
  </connection>
  <connection id="3" keepAlive="1" name="Query - q_Reglements" description="Import CSV local q_Reglements" type="5" refreshedVersion="7" background="0" saveData="1">
    <dbPr connection="Provider=Microsoft.Mashup.OleDb.1;Data Source=$Workbook$;Location=q_Reglements;Extended Properties=&quot;&quot;" command="SELECT * FROM [q_Reglements]"/>
  </connection>
  <connection id="4" keepAlive="1" name="Query - q_PositionsDepot" description="Import CSV local q_PositionsDepot" type="5" refreshedVersion="7" background="0" saveData="1">
    <dbPr connection="Provider=Microsoft.Mashup.OleDb.1;Data Source=$Workbook$;Location=q_PositionsDepot;Extended Properties=&quot;&quot;" command="SELECT * FROM [q_PositionsDepot]"/>
  </connection>
  <connection id="5" keepAlive="1" name="Query - q_CashDepot" description="Import CSV local q_CashDepot" type="5" refreshedVersion="7" background="0" saveData="1">
    <dbPr connection="Provider=Microsoft.Mashup.OleDb.1;Data Source=$Workbook$;Location=q_CashDepot;Extended Properties=&quot;&quot;" command="SELECT * FROM [q_CashDepot]"/>
  </connection>
  <connection id="6" keepAlive="1" name="Query - q_VLReference" description="Import CSV local q_VLReference" type="5" refreshedVersion="7" background="0" saveData="1">
    <dbPr connection="Provider=Microsoft.Mashup.OleDb.1;Data Source=$Workbook$;Location=q_VLReference;Extended Properties=&quot;&quot;" command="SELECT * FROM [q_VLReference]"/>
  </connection>
  <connection id="7" keepAlive="1" name="Query - q_FluxDepot" description="Import CSV local q_FluxDepot" type="5" refreshedVersion="7" background="0" saveData="1">
    <dbPr connection="Provider=Microsoft.Mashup.OleDb.1;Data Source=$Workbook$;Location=q_FluxDepot;Extended Properties=&quot;&quot;" command="SELECT * FROM [q_FluxDepot]"/>
  </connection>
  <connection id="8" keepAlive="1" name="Query - q_Cours" description="Import CSV local q_Cours" type="5" refreshedVersion="7" background="0" saveData="1">
    <dbPr connection="Provider=Microsoft.Mashup.OleDb.1;Data Source=$Workbook$;Location=q_Cours;Extended Properties=&quot;&quot;" command="SELECT * FROM [q_Cours]"/>
  </connection>
  <connection id="9" keepAlive="1" name="Query - q_Chargement" description="Import CSV local q_Chargement" type="5" refreshedVersion="7" background="0" saveData="1">
    <dbPr connection="Provider=Microsoft.Mashup.OleDb.1;Data Source=$Workbook$;Location=q_Chargement;Extended Properties=&quot;&quot;" command="SELECT * FROM [q_Chargement]"/>
  </connection>
</connection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;(#,##0.00);0.00"/>
    <x:numFmt numFmtId="202" formatCode="0.000000"/>
    <x:numFmt numFmtId="203" formatCode="#,##0;(#,##0);0"/>
  </x:numFmts>
  <x:fonts count="13">
    <x:font>
      <x:sz val="11"/>
      <x:name val="Carlito"/>
    </x:font>
    <x:font>
      <x:sz val="10"/>
      <x:color rgb="FF203040"/>
      <x:name val="Arial"/>
    </x:font>
    <x:font>
      <x:b/>
      <x:sz val="15"/>
      <x:color rgb="FF20354B"/>
      <x:name val="Arial"/>
    </x:font>
    <x:font>
      <x:b/>
      <x:sz val="10"/>
      <x:color rgb="FFFFFFFF"/>
      <x:name val="Arial"/>
    </x:font>
    <x:font>
      <x:b/>
      <x:sz val="11"/>
      <x:color rgb="FF20354B"/>
      <x:name val="Arial"/>
    </x:font>
    <x:font>
      <x:i/>
      <x:sz val="10"/>
      <x:color rgb="FF667787"/>
      <x:name val="Arial"/>
    </x:font>
    <x:font>
      <x:sz val="10"/>
      <x:color rgb="FF0000FF"/>
      <x:name val="Arial"/>
    </x:font>
    <x:font>
      <x:sz val="10"/>
      <x:color rgb="FF667787"/>
      <x:name val="Arial"/>
    </x:font>
    <x:font>
      <x:b/>
      <x:sz val="12"/>
      <x:color rgb="FF20354B"/>
      <x:name val="Arial"/>
    </x:font>
    <x:font>
      <x:sz val="10"/>
      <x:color rgb="FF287246"/>
      <x:name val="Arial"/>
    </x:font>
    <x:font>
      <x:b/>
      <x:sz val="10"/>
      <x:color rgb="FF287246"/>
      <x:name val="Arial"/>
    </x:font>
    <x:font>
      <x:sz val="10"/>
      <x:color rgb="FFFFFFFF"/>
      <x:name val="Arial"/>
    </x:font>
    <x:font>
      <x:sz val="10"/>
      <x:color rgb="FF2035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54B"/>
      </x:patternFill>
    </x:fill>
    <x:fill>
      <x:patternFill patternType="solid">
        <x:fgColor rgb="FFFFF2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0354B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A82231"/>
      </x:font>
      <x:fill>
        <x:patternFill patternType="solid">
          <x:bgColor rgb="FFFCE8EA"/>
        </x:patternFill>
      </x:fill>
    </x:dxf>
    <x:dxf>
      <x:font>
        <x:b/>
        <x:color rgb="FFA82231"/>
      </x:font>
      <x:fill>
        <x:patternFill patternType="solid">
          <x:bgColor rgb="FFFCE8EA"/>
        </x:patternFill>
      </x:fill>
    </x:dxf>
    <x:dxf>
      <x:font>
        <x:b/>
        <x:color rgb="FFA82231"/>
      </x:font>
      <x:fill>
        <x:patternFill patternType="solid">
          <x:bgColor rgb="FFFCE8EA"/>
        </x:patternFill>
      </x:fill>
    </x:dxf>
    <x:dxf>
      <x:font>
        <x:b/>
        <x:color rgb="FFA82231"/>
      </x:font>
      <x:fill>
        <x:patternFill patternType="solid">
          <x:bgColor rgb="FFFCE8EA"/>
        </x:patternFill>
      </x:fill>
    </x:dxf>
    <x:dxf>
      <x:font>
        <x:b/>
        <x:color rgb="FFA82231"/>
      </x:font>
      <x:fill>
        <x:patternFill patternType="solid">
          <x:bgColor rgb="FFFCE8EA"/>
        </x:patternFill>
      </x:fill>
    </x:dxf>
    <x:dxf>
      <x:font>
        <x:b/>
        <x:color rgb="FFA82231"/>
      </x:font>
      <x:fill>
        <x:patternFill patternType="solid">
          <x:bgColor rgb="FFFCE8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d5e04a1634525" /><Relationship Type="http://schemas.openxmlformats.org/officeDocument/2006/relationships/theme" Target="/xl/theme/theme1.xml" Id="Rf1efcd88763c4af8" /><Relationship Type="http://schemas.openxmlformats.org/officeDocument/2006/relationships/sharedStrings" Target="/xl/sharedStrings.xml" Id="R46ce94c5ed704545" /><Relationship Type="http://schemas.openxmlformats.org/officeDocument/2006/relationships/worksheet" Target="/xl/worksheets/sheet1.xml" Id="Rb0b2f5aa69534921" /><Relationship Type="http://schemas.openxmlformats.org/officeDocument/2006/relationships/worksheet" Target="/xl/worksheets/sheet2.xml" Id="R342e4610ccfa47bc" /><Relationship Type="http://schemas.openxmlformats.org/officeDocument/2006/relationships/worksheet" Target="/xl/worksheets/sheet3.xml" Id="R7b6e48ac37bc4450" /><Relationship Type="http://schemas.openxmlformats.org/officeDocument/2006/relationships/worksheet" Target="/xl/worksheets/sheet4.xml" Id="R7df0466ec5134f24" /><Relationship Type="http://schemas.openxmlformats.org/officeDocument/2006/relationships/worksheet" Target="/xl/worksheets/sheet5.xml" Id="R77b46b65fce94793" /><Relationship Type="http://schemas.openxmlformats.org/officeDocument/2006/relationships/worksheet" Target="/xl/worksheets/sheet6.xml" Id="Ree91b264a66c48e7" /><Relationship Type="http://schemas.openxmlformats.org/officeDocument/2006/relationships/worksheet" Target="/xl/worksheets/sheet7.xml" Id="R5c891b22b7684bfd" /><Relationship Type="http://schemas.openxmlformats.org/officeDocument/2006/relationships/worksheet" Target="/xl/worksheets/sheet8.xml" Id="R8d4f921d517e4971" /><Relationship Id="rId1" Type="http://schemas.openxmlformats.org/officeDocument/2006/relationships/connections" Target="connections.xml"/><Relationship Id="rId2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a7e1b0d9aa44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Valeur liquidative calculée (EUR par part)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VL EUR</c:v>
          </c:tx>
          <c:spPr>
            <a:ln xmlns:a="http://schemas.openxmlformats.org/drawingml/2006/main" w="19050">
              <a:solidFill>
                <a:srgbClr val="315D80"/>
              </a:solidFill>
              <a:prstDash val="solid"/>
            </a:ln>
          </c:spPr>
          <c:marker>
            <c:symbol val="none"/>
          </c:marker>
          <c:cat>
            <c:strRef>
              <c:f>'Controle_fonds_actions.xlsx'!DatesGraph</c:f>
              <c:strCache>
                <c:ptCount val="0"/>
              </c:strCache>
            </c:strRef>
          </c:cat>
          <c:val>
            <c:numRef>
              <c:f>'Controle_fonds_actions.xlsx'!VLGraph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dd/mm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0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20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a7e1b0d9aa44a5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saveData="1" refreshOnLoad="1" createdVersion="6" refreshedVersion="6" minRefreshableVersion="3" recordCount="6">
  <cacheSource type="worksheet">
    <worksheetSource name="t_Anomalies"/>
  </cacheSource>
  <cacheFields count="9">
    <cacheField name="IncidentID" numFmtId="0">
      <sharedItems count="6">
        <s v="INC-01"/>
        <s v="INC-02"/>
        <s v="INC-03"/>
        <s v="INC-04"/>
        <s v="INC-05"/>
        <s v="INC-06"/>
      </sharedItems>
    </cacheField>
    <cacheField name="Catégorie" numFmtId="0">
      <sharedItems count="6">
        <s v="Opération absente"/>
        <s v="Doublon"/>
        <s v="Quantité incorrecte"/>
        <s v="Flux non comptabilisé"/>
        <s v="Cours périmé"/>
        <s v="Règlement en retard"/>
      </sharedItems>
    </cacheField>
    <cacheField name="Clé de contrôle" numFmtId="0">
      <sharedItems count="6">
        <s v="TR-016"/>
        <s v="TR-018"/>
        <s v="TR-019"/>
        <s v="BANK-001"/>
        <s v="FR0000120073_2026-09-24"/>
        <s v="TR-017"/>
      </sharedItems>
    </cacheField>
    <cacheField name="Alerte active" numFmtId="0">
      <sharedItems containsString="0" containsNumber="1" containsInteger="1" count="0"/>
    </cacheField>
    <cacheField name="Statut saisi" numFmtId="0">
      <sharedItems count="1">
        <s v="Clôturée"/>
      </sharedItems>
    </cacheField>
    <cacheField name="Diagnostic / preuve" numFmtId="0">
      <sharedItems count="6">
        <s v="TR-016 : confirmation dépositaire de 70 AI achetées le 21/09, absente en interne."/>
        <s v="TR-018 : deux RecordID pour un même achat de 100 Danone et une seule confirmation."/>
        <s v="TR-019 : 150 Vinci internes contre 50 confirmées. Écart de 100 actions."/>
        <s v="BANK-001 : débit bancaire confirmé de 25 EUR au 23/09 absent du registre interne."/>
        <s v="AI au 24/09 : cours daté du 23/09. Cours fictif de référence du 24/09 : 167.59 EUR."/>
        <s v="TR-017 : règlement prévu au 23/09, livraison effective au 25/09. Dette maintenue en attente."/>
      </sharedItems>
    </cacheField>
    <cacheField name="Action" numFmtId="0">
      <sharedItems count="6">
        <s v="COR-01 : ajout REC-016 depuis la confirmation. Source conservée."/>
        <s v="COR-02 : exclusion de REC-018-DUP uniquement. Ligne initiale conservée."/>
        <s v="COR-03 : quantité corrigée à 50, puis contrôle des positions, espèces et VL."/>
        <s v="COR-04 : flux de -25 EUR au 23/09. Le courtage des opérations n’est pas déduit deux fois."/>
        <s v="COR-05 : remplacement du cours et de sa date par la référence simulée du 24/09."/>
        <s v="Suivi du retard et confirmation au 25/09. Aucune correction artificielle des espèces."/>
      </sharedItems>
    </cacheField>
    <cacheField name="Date résolution" numFmtId="14">
      <sharedItems containsString="0" containsNumber="1" containsInteger="1" count="0"/>
    </cacheField>
    <cacheField name="Conclusion" numFmtId="0">
      <sharedItems count="1">
        <s v="Clôturée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  <x v="0"/>
    <x v="0"/>
    <n v="0"/>
    <x v="0"/>
    <x v="0"/>
    <x v="0"/>
    <n v="46290"/>
    <x v="0"/>
  </r>
  <r>
    <x v="1"/>
    <x v="1"/>
    <x v="1"/>
    <n v="0"/>
    <x v="0"/>
    <x v="1"/>
    <x v="1"/>
    <n v="46290"/>
    <x v="0"/>
  </r>
  <r>
    <x v="2"/>
    <x v="2"/>
    <x v="2"/>
    <n v="0"/>
    <x v="0"/>
    <x v="2"/>
    <x v="2"/>
    <n v="46290"/>
    <x v="0"/>
  </r>
  <r>
    <x v="3"/>
    <x v="3"/>
    <x v="3"/>
    <n v="0"/>
    <x v="0"/>
    <x v="3"/>
    <x v="3"/>
    <n v="46290"/>
    <x v="0"/>
  </r>
  <r>
    <x v="4"/>
    <x v="4"/>
    <x v="4"/>
    <n v="0"/>
    <x v="0"/>
    <x v="4"/>
    <x v="4"/>
    <n v="46290"/>
    <x v="0"/>
  </r>
  <r>
    <x v="5"/>
    <x v="5"/>
    <x v="5"/>
    <n v="0"/>
    <x v="0"/>
    <x v="5"/>
    <x v="5"/>
    <n v="46290"/>
    <x v="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CD_Incidents" cacheId="1" dataCaption="Valeurs" grandTotalCaption="Total général" rowHeaderCaption="Catégorie" updatedVersion="6" minRefreshableVersion="3" useAutoFormatting="1" applyNumberFormats="0" applyBorderFormats="0" applyFontFormats="0" applyPatternFormats="0" applyAlignmentFormats="0" applyWidthHeightFormats="1">
  <location ref="G44:H51" firstHeaderRow="0" firstDataRow="1" firstDataCol="1"/>
  <pivotFields count="9"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0"/>
    </i>
    <i>
      <x v="1"/>
    </i>
    <i>
      <x v="2"/>
    </i>
    <i>
      <x v="3"/>
    </i>
    <i>
      <x v="4"/>
    </i>
    <i>
      <x v="5"/>
    </i>
    <i t="grand">
      <x/>
    </i>
  </rowItems>
  <colItems count="1">
    <i>
      <x/>
    </i>
  </colItems>
  <dataFields count="1">
    <dataField name="Alertes actives" fld="3" subtotal="sum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ExternalData_1" connectionId="1" autoFormatId="16" growShrinkType="overwriteClear" preserveFormatting="1" adjustColumnWidth="0" applyNumberFormats="0" applyBorderFormats="0" applyFontFormats="0" applyPatternFormats="0" applyAlignmentFormats="0" applyWidthHeightFormats="0">
  <queryTableRefresh nextId="12">
    <queryTableFields count="11">
      <queryTableField id="1" name="RecordID" tableColumnId="1"/>
      <queryTableField id="2" name="TradeID" tableColumnId="2"/>
      <queryTableField id="3" name="DateNegociation" tableColumnId="3"/>
      <queryTableField id="4" name="DatePrevue" tableColumnId="4"/>
      <queryTableField id="5" name="DateEffective" tableColumnId="5"/>
      <queryTableField id="6" name="ISIN" tableColumnId="6"/>
      <queryTableField id="7" name="Sens" tableColumnId="7"/>
      <queryTableField id="8" name="Quantite" tableColumnId="8"/>
      <queryTableField id="9" name="PrixExecutionSimule" tableColumnId="9"/>
      <queryTableField id="10" name="CourtageEUR" tableColumnId="10"/>
      <queryTableField id="11" name="Devise" tableColumnId="11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growShrinkType="overwriteClear" preserveFormatting="1" adjustColumnWidth="0" applyNumberFormats="0" applyBorderFormats="0" applyFontFormats="0" applyPatternFormats="0" applyAlignmentFormats="0" applyWidthHeightFormats="0">
  <queryTableRefresh nextId="5">
    <queryTableFields count="4">
      <queryTableField id="1" name="CashID" tableColumnId="1"/>
      <queryTableField id="2" name="Date" tableColumnId="2"/>
      <queryTableField id="3" name="MontantEUR" tableColumnId="3"/>
      <queryTableField id="4" name="Libelle" tableColumnId="4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growShrinkType="overwriteClear" preserveFormatting="1" adjustColumnWidth="0" applyNumberFormats="0" applyBorderFormats="0" applyFontFormats="0" applyPatternFormats="0" applyAlignmentFormats="0" applyWidthHeightFormats="0">
  <queryTableRefresh nextId="12">
    <queryTableFields count="11">
      <queryTableField id="1" name="RecordID" tableColumnId="1"/>
      <queryTableField id="2" name="TradeID" tableColumnId="2"/>
      <queryTableField id="3" name="DateNegociation" tableColumnId="3"/>
      <queryTableField id="4" name="DatePrevue" tableColumnId="4"/>
      <queryTableField id="5" name="DateEffective" tableColumnId="5"/>
      <queryTableField id="6" name="ISIN" tableColumnId="6"/>
      <queryTableField id="7" name="Sens" tableColumnId="7"/>
      <queryTableField id="8" name="Quantite" tableColumnId="8"/>
      <queryTableField id="9" name="PrixExecutionSimule" tableColumnId="9"/>
      <queryTableField id="10" name="CourtageEUR" tableColumnId="10"/>
      <queryTableField id="11" name="Devise" tableColumnId="11"/>
    </queryTableFields>
  </queryTableRefresh>
</queryTable>
</file>

<file path=xl/queryTables/queryTable4.xml><?xml version="1.0" encoding="utf-8"?>
<queryTable xmlns="http://schemas.openxmlformats.org/spreadsheetml/2006/main" name="ExternalData_4" connectionId="4" autoFormatId="16" growShrinkType="overwriteClear" preserveFormatting="1" adjustColumnWidth="0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ISIN" tableColumnId="2"/>
      <queryTableField id="3" name="QuantiteReglee" tableColumnId="3"/>
    </queryTableFields>
  </queryTableRefresh>
</queryTable>
</file>

<file path=xl/queryTables/queryTable5.xml><?xml version="1.0" encoding="utf-8"?>
<queryTable xmlns="http://schemas.openxmlformats.org/spreadsheetml/2006/main" name="ExternalData_5" connectionId="5" autoFormatId="16" growShrinkType="overwriteClear" preserveFormatting="1" adjustColumnWidth="0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SoldeEUR" tableColumnId="2"/>
    </queryTableFields>
  </queryTableRefresh>
</queryTable>
</file>

<file path=xl/queryTables/queryTable6.xml><?xml version="1.0" encoding="utf-8"?>
<queryTable xmlns="http://schemas.openxmlformats.org/spreadsheetml/2006/main" name="ExternalData_6" connectionId="6" autoFormatId="16" growShrinkType="overwriteClear" preserveFormatting="1" adjustColumnWidth="0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ActifNetEUR" tableColumnId="2"/>
      <queryTableField id="3" name="NombreParts" tableColumnId="3"/>
      <queryTableField id="4" name="VLReferenceEUR" tableColumnId="4"/>
    </queryTableFields>
  </queryTableRefresh>
</queryTable>
</file>

<file path=xl/queryTables/queryTable7.xml><?xml version="1.0" encoding="utf-8"?>
<queryTable xmlns="http://schemas.openxmlformats.org/spreadsheetml/2006/main" name="ExternalData_7" connectionId="7" autoFormatId="16" growShrinkType="overwriteClear" preserveFormatting="1" adjustColumnWidth="0" applyNumberFormats="0" applyBorderFormats="0" applyFontFormats="0" applyPatternFormats="0" applyAlignmentFormats="0" applyWidthHeightFormats="0">
  <queryTableRefresh nextId="5">
    <queryTableFields count="4">
      <queryTableField id="1" name="CashID" tableColumnId="1"/>
      <queryTableField id="2" name="Date" tableColumnId="2"/>
      <queryTableField id="3" name="MontantEUR" tableColumnId="3"/>
      <queryTableField id="4" name="Libelle" tableColumnId="4"/>
    </queryTableFields>
  </queryTableRefresh>
</queryTable>
</file>

<file path=xl/queryTables/queryTable8.xml><?xml version="1.0" encoding="utf-8"?>
<queryTable xmlns="http://schemas.openxmlformats.org/spreadsheetml/2006/main" name="ExternalData_8" connectionId="8" autoFormatId="16" growShrinkType="overwriteClear" preserveFormatting="1" adjustColumnWidth="0" applyNumberFormats="0" applyBorderFormats="0" applyFontFormats="0" applyPatternFormats="0" applyAlignmentFormats="0" applyWidthHeightFormats="0">
  <queryTableRefresh nextId="7">
    <queryTableFields count="6">
      <queryTableField id="1" name="PriceID" tableColumnId="1"/>
      <queryTableField id="2" name="DateValorisation" tableColumnId="2"/>
      <queryTableField id="3" name="ISIN" tableColumnId="3"/>
      <queryTableField id="4" name="CoursEUR" tableColumnId="4"/>
      <queryTableField id="5" name="DateCours" tableColumnId="5"/>
      <queryTableField id="6" name="Devise" tableColumnId="6"/>
    </queryTableFields>
  </queryTableRefresh>
</queryTable>
</file>

<file path=xl/queryTables/queryTable9.xml><?xml version="1.0" encoding="utf-8"?>
<queryTable xmlns="http://schemas.openxmlformats.org/spreadsheetml/2006/main" name="ExternalData_9" connectionId="9" autoFormatId="16" growShrinkType="overwriteClear" preserveFormatting="1" adjustColumnWidth="0" applyNumberFormats="0" applyBorderFormats="0" applyFontFormats="0" applyPatternFormats="0" applyAlignmentFormats="0" applyWidthHeightFormats="0">
  <queryTableRefresh nextId="8">
    <queryTableFields count="7">
      <queryTableField id="1" name="DossierCharge" tableColumnId="1"/>
      <queryTableField id="2" name="Transactions" tableColumnId="2"/>
      <queryTableField id="3" name="Reglements" tableColumnId="3"/>
      <queryTableField id="4" name="Cours" tableColumnId="4"/>
      <queryTableField id="5" name="Positions" tableColumnId="5"/>
      <queryTableField id="6" name="Especes" tableColumnId="6"/>
      <queryTableField id="7" name="VL" tableColumnId="7"/>
    </queryTableFields>
  </queryTableRefresh>
</queryTable>
</file>

<file path=xl/tables/_rels/table4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7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t_Anomalies" displayName="t_Anomalies" ref="B6:J12" headerRowCount="1" totalsRowCount="0" totalsRowShown="0">
  <tableColumns count="9">
    <tableColumn id="1" name="IncidentID"/>
    <tableColumn id="2" name="Catégorie"/>
    <tableColumn id="3" name="Clé de contrôle"/>
    <tableColumn id="4" name="Alerte active"/>
    <tableColumn id="5" name="Statut saisi"/>
    <tableColumn id="6" name="Diagnostic / preuve"/>
    <tableColumn id="7" name="Action"/>
    <tableColumn id="8" name="Date résolution"/>
    <tableColumn id="9" name="Conclu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orrections" displayName="t_Corrections" ref="B18:H23" headerRowCount="1" totalsRowCount="0" totalsRowShown="0">
  <autoFilter ref="B18:H23"/>
  <tableColumns count="7">
    <tableColumn id="1" name="CorrectionID"/>
    <tableColumn id="2" name="RecordID"/>
    <tableColumn id="3" name="Champ"/>
    <tableColumn id="4" name="Valeur"/>
    <tableColumn id="5" name="Appliquer"/>
    <tableColumn id="6" name="Motif"/>
    <tableColumn id="7" name="DateEff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jouts" displayName="t_Ajouts" ref="B32:L33" headerRowCount="1" totalsRowCount="0" totalsRowShown="0">
  <autoFilter ref="B32:L33"/>
  <tableColumns count="11">
    <tableColumn id="1" name="RecordID"/>
    <tableColumn id="2" name="TradeID"/>
    <tableColumn id="3" name="DateNegociation"/>
    <tableColumn id="4" name="DatePrevue"/>
    <tableColumn id="5" name="DateEffective"/>
    <tableColumn id="6" name="ISIN"/>
    <tableColumn id="7" name="Sens"/>
    <tableColumn id="8" name="Quantite"/>
    <tableColumn id="9" name="PrixExecutionSimule"/>
    <tableColumn id="10" name="CourtageEUR"/>
    <tableColumn id="11" name="Devi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tableType="queryTable" id="4" name="t_Transactions" displayName="t_Transactions" ref="B6:L31" headerRowCount="1" totalsRowCount="0" totalsRowShown="0">
  <autoFilter ref="B6:L31"/>
  <tableColumns count="11">
    <tableColumn id="1" name="RecordID" uniqueName="1" queryTableFieldId="1"/>
    <tableColumn id="2" name="TradeID" uniqueName="2" queryTableFieldId="2"/>
    <tableColumn id="3" name="DateNegociation" uniqueName="3" queryTableFieldId="3"/>
    <tableColumn id="4" name="DatePrevue" uniqueName="4" queryTableFieldId="4"/>
    <tableColumn id="5" name="DateEffective" uniqueName="5" queryTableFieldId="5"/>
    <tableColumn id="6" name="ISIN" uniqueName="6" queryTableFieldId="6"/>
    <tableColumn id="7" name="Sens" uniqueName="7" queryTableFieldId="7"/>
    <tableColumn id="8" name="Quantite" uniqueName="8" queryTableFieldId="8"/>
    <tableColumn id="9" name="PrixExecutionSimule" uniqueName="9" queryTableFieldId="9"/>
    <tableColumn id="10" name="CourtageEUR" uniqueName="10" queryTableFieldId="10"/>
    <tableColumn id="11" name="Devise" uniqueName="11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tableType="queryTable" id="5" name="t_CashInterne" displayName="t_CashInterne" ref="O6:R7" headerRowCount="1" totalsRowCount="0" totalsRowShown="0">
  <autoFilter ref="O6:R7"/>
  <tableColumns count="4">
    <tableColumn id="1" name="CashID" uniqueName="1" queryTableFieldId="1"/>
    <tableColumn id="2" name="Date" uniqueName="2" queryTableFieldId="2"/>
    <tableColumn id="3" name="MontantEUR" uniqueName="3" queryTableFieldId="3"/>
    <tableColumn id="4" name="Libelle" uniqueName="4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tableType="queryTable" id="6" name="t_Chargement" displayName="t_Chargement" ref="T6:Z7" headerRowCount="1" totalsRowCount="0" totalsRowShown="0">
  <autoFilter ref="T6:Z7"/>
  <tableColumns count="7">
    <tableColumn id="1" name="DossierCharge" uniqueName="1" queryTableFieldId="1"/>
    <tableColumn id="2" name="Transactions" uniqueName="2" queryTableFieldId="2"/>
    <tableColumn id="3" name="Reglements" uniqueName="3" queryTableFieldId="3"/>
    <tableColumn id="4" name="Cours" uniqueName="4" queryTableFieldId="4"/>
    <tableColumn id="5" name="Positions" uniqueName="5" queryTableFieldId="5"/>
    <tableColumn id="6" name="Especes" uniqueName="6" queryTableFieldId="6"/>
    <tableColumn id="7" name="VL" uniqueName="7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tableType="queryTable" id="7" name="t_Reglements" displayName="t_Reglements" ref="B6:L31" headerRowCount="1" totalsRowCount="0" totalsRowShown="0">
  <autoFilter ref="B6:L31"/>
  <tableColumns count="11">
    <tableColumn id="1" name="RecordID" uniqueName="1" queryTableFieldId="1"/>
    <tableColumn id="2" name="TradeID" uniqueName="2" queryTableFieldId="2"/>
    <tableColumn id="3" name="DateNegociation" uniqueName="3" queryTableFieldId="3"/>
    <tableColumn id="4" name="DatePrevue" uniqueName="4" queryTableFieldId="4"/>
    <tableColumn id="5" name="DateEffective" uniqueName="5" queryTableFieldId="5"/>
    <tableColumn id="6" name="ISIN" uniqueName="6" queryTableFieldId="6"/>
    <tableColumn id="7" name="Sens" uniqueName="7" queryTableFieldId="7"/>
    <tableColumn id="8" name="Quantite" uniqueName="8" queryTableFieldId="8"/>
    <tableColumn id="9" name="PrixExecutionSimule" uniqueName="9" queryTableFieldId="9"/>
    <tableColumn id="10" name="CourtageEUR" uniqueName="10" queryTableFieldId="10"/>
    <tableColumn id="11" name="Devise" uniqueName="11" queryTableField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tableType="queryTable" id="8" name="t_PositionsDepot" displayName="t_PositionsDepot" ref="O6:Q56" headerRowCount="1" totalsRowCount="0" totalsRowShown="0">
  <autoFilter ref="O6:Q56"/>
  <tableColumns count="3">
    <tableColumn id="1" name="Date" uniqueName="1" queryTableFieldId="1"/>
    <tableColumn id="2" name="ISIN" uniqueName="2" queryTableFieldId="2"/>
    <tableColumn id="3" name="QuantiteReglee" uniqueName="3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tableType="queryTable" id="9" name="t_CashDepot" displayName="t_CashDepot" ref="T6:U16" headerRowCount="1" totalsRowCount="0" totalsRowShown="0">
  <autoFilter ref="T6:U16"/>
  <tableColumns count="2">
    <tableColumn id="1" name="Date" uniqueName="1" queryTableFieldId="1"/>
    <tableColumn id="2" name="SoldeEUR" uniqueName="2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tableType="queryTable" id="10" name="t_VLReference" displayName="t_VLReference" ref="X6:AA16" headerRowCount="1" totalsRowCount="0" totalsRowShown="0">
  <autoFilter ref="X6:AA16"/>
  <tableColumns count="4">
    <tableColumn id="1" name="Date" uniqueName="1" queryTableFieldId="1"/>
    <tableColumn id="2" name="ActifNetEUR" uniqueName="2" queryTableFieldId="2"/>
    <tableColumn id="3" name="NombreParts" uniqueName="3" queryTableFieldId="3"/>
    <tableColumn id="4" name="VLReferenceEUR" uniqueName="4" queryTableField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tableType="queryTable" id="11" name="t_FluxDepot" displayName="t_FluxDepot" ref="T30:W31" headerRowCount="1" totalsRowCount="0" totalsRowShown="0">
  <autoFilter ref="T30:W31"/>
  <tableColumns count="4">
    <tableColumn id="1" name="CashID" uniqueName="1" queryTableFieldId="1"/>
    <tableColumn id="2" name="Date" uniqueName="2" queryTableFieldId="2"/>
    <tableColumn id="3" name="MontantEUR" uniqueName="3" queryTableFieldId="3"/>
    <tableColumn id="4" name="Libelle" uniqueName="4" queryTableField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tableType="queryTable" id="12" name="t_Cours" displayName="t_Cours" ref="B6:G56" headerRowCount="1" totalsRowCount="0" totalsRowShown="0">
  <autoFilter ref="B6:G56"/>
  <tableColumns count="6">
    <tableColumn id="1" name="PriceID" uniqueName="1" queryTableFieldId="1"/>
    <tableColumn id="2" name="DateValorisation" uniqueName="2" queryTableFieldId="2"/>
    <tableColumn id="3" name="ISIN" uniqueName="3" queryTableFieldId="3"/>
    <tableColumn id="4" name="CoursEUR" uniqueName="4" queryTableFieldId="4"/>
    <tableColumn id="5" name="DateCours" uniqueName="5" queryTableFieldId="5"/>
    <tableColumn id="6" name="Devise" uniqueName="6" queryTableFieldId="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Titres" displayName="t_Titres" ref="J6:N11" headerRowCount="1" totalsRowCount="0" totalsRowShown="0">
  <autoFilter ref="J6:N11"/>
  <tableColumns count="5">
    <tableColumn id="1" name="ISIN"/>
    <tableColumn id="2" name="Libelle"/>
    <tableColumn id="3" name="Ticker"/>
    <tableColumn id="4" name="Devise"/>
    <tableColumn id="5" name="March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alendrier" displayName="t_Calendrier" ref="P6:P26" headerRowCount="1" totalsRowCount="0" totalsRowShown="0">
  <autoFilter ref="P6:P26"/>
  <tableColumns count="1">
    <tableColumn id="1" name="Da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Sources" displayName="t_Sources" ref="R6:T11" headerRowCount="1" totalsRowCount="0" totalsRowShown="0">
  <autoFilter ref="R6:T11"/>
  <tableColumns count="3">
    <tableColumn id="1" name="Source"/>
    <tableColumn id="2" name="Perimetre"/>
    <tableColumn id="3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ebc67bc54b4337" /><Relationship Id="rId1" Type="http://schemas.openxmlformats.org/officeDocument/2006/relationships/pivotTable" Target="../pivotTables/pivotTable1.xml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a52de4e51f1481d" /><Relationship Type="http://schemas.openxmlformats.org/officeDocument/2006/relationships/table" Target="/xl/tables/table2.xml" Id="R1a88d289650c407d" /><Relationship Type="http://schemas.openxmlformats.org/officeDocument/2006/relationships/table" Target="/xl/tables/table3.xml" Id="Rf2f7d4f47c764a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1681876ef04cf9" /><Relationship Type="http://schemas.openxmlformats.org/officeDocument/2006/relationships/table" Target="/xl/tables/table5.xml" Id="R241f383e9e1a40c9" /><Relationship Type="http://schemas.openxmlformats.org/officeDocument/2006/relationships/table" Target="/xl/tables/table6.xml" Id="Rbc79d0274b2448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391ae972ce34682" /><Relationship Type="http://schemas.openxmlformats.org/officeDocument/2006/relationships/table" Target="/xl/tables/table8.xml" Id="R2b48d1ef6f5447e3" /><Relationship Type="http://schemas.openxmlformats.org/officeDocument/2006/relationships/table" Target="/xl/tables/table9.xml" Id="Rb7f4c6c74d34492a" /><Relationship Type="http://schemas.openxmlformats.org/officeDocument/2006/relationships/table" Target="/xl/tables/table10.xml" Id="Rf15fd267a1664fe8" /><Relationship Type="http://schemas.openxmlformats.org/officeDocument/2006/relationships/table" Target="/xl/tables/table11.xml" Id="R2a0ffef2a3344d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1340f3013a8c484e" /><Relationship Type="http://schemas.openxmlformats.org/officeDocument/2006/relationships/table" Target="/xl/tables/table13.xml" Id="Rf6b26ad0f6304cb4" /><Relationship Type="http://schemas.openxmlformats.org/officeDocument/2006/relationships/table" Target="/xl/tables/table14.xml" Id="R8f01f80cd3a6495b" /><Relationship Type="http://schemas.openxmlformats.org/officeDocument/2006/relationships/table" Target="/xl/tables/table15.xml" Id="R03abbf2b29a24e77" /></Relationships>
</file>

<file path=xl/worksheets/sheet1.xml><?xml version="1.0" encoding="utf-8"?>
<worksheet xmlns="http://schemas.openxmlformats.org/spreadsheetml/2006/main">
  <sheetPr>
    <tabColor rgb="FF20354B"/>
  </sheetPr>
  <sheetViews>
    <sheetView showGridLines="0" workbookViewId="0"/>
  </sheetViews>
  <sheetFormatPr defaultRowHeight="15"/>
  <cols>
    <col min="1" max="1" width="3" hidden="0" customWidth="1"/>
    <col min="2" max="2" width="34" hidden="0" customWidth="1"/>
    <col min="3" max="3" width="24" hidden="0" customWidth="1"/>
    <col min="4" max="4" width="22" hidden="0" customWidth="1"/>
    <col min="5" max="5" width="22" hidden="0" customWidth="1"/>
    <col min="6" max="6" width="30" hidden="0" customWidth="1"/>
    <col min="7" max="7" width="27" hidden="0" customWidth="1"/>
    <col min="8" max="8" width="18" hidden="0" customWidth="1"/>
    <col min="9" max="9" width="29" hidden="0" customWidth="1"/>
    <col min="10" max="10" width="15" hidden="0" customWidth="1"/>
    <col min="11" max="11" width="15" hidden="0" customWidth="1"/>
    <col min="12" max="12" width="15" hidden="0" customWidth="1"/>
    <col min="13" max="13" width="15" hidden="0" customWidth="1"/>
    <col min="14" max="14" width="15" hidden="0" customWidth="1"/>
    <col min="15" max="15" width="15" hidden="0" customWidth="1"/>
    <col min="16" max="16" width="15" hidden="0" customWidth="1"/>
    <col min="17" max="17" width="15" customWidth="1" hidden="1"/>
    <col min="18" max="18" width="15" hidden="0" customWidth="1"/>
    <col min="19" max="19" width="15" hidden="0" customWidth="1"/>
    <col min="20" max="20" width="15" hidden="0" customWidth="1"/>
    <col min="21" max="21" width="15" hidden="0" customWidth="1"/>
    <col min="22" max="22" width="15" hidden="0" customWidth="1"/>
    <col min="23" max="23" width="15" hidden="0" customWidth="1"/>
    <col min="24" max="24" width="15" hidden="0" customWidth="1"/>
    <col min="25" max="25" width="15" hidden="0" customWidth="1"/>
    <col min="26" max="26" width="15" hidden="0" customWidth="1"/>
    <col min="27" max="27" width="15" hidden="0" customWidth="1"/>
    <col min="28" max="28" width="15" hidden="0" customWidth="1"/>
  </cols>
  <sheetData>
    <row r="1" ht="2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" customHeight="1">
      <c r="A2" s="2"/>
      <c r="B2" s="3" t="str">
        <v>Contrôle quotidien d’un fonds actions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0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0" customHeight="1">
      <c r="A4" s="2"/>
      <c r="B4" s="10" t="str">
        <v>Simulation pédagogique. Cours, opérations et états dépositaires fictifs.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0" customHeight="1">
      <c r="A5" s="2"/>
      <c r="B5" s="6" t="str">
        <v>Paramètre</v>
      </c>
      <c r="C5" s="6" t="str">
        <v>Valeur</v>
      </c>
      <c r="D5" s="2"/>
      <c r="E5" s="2"/>
      <c r="F5" s="9" t="str">
        <v>Résultats à la date sélectionnée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0" customHeight="1">
      <c r="A6" s="2"/>
      <c r="B6" s="2" t="str">
        <v>Date de contrôle</v>
      </c>
      <c r="C6" s="17" t="n">
        <v>46290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0" customHeight="1">
      <c r="A7" s="2"/>
      <c r="B7" s="2" t="str">
        <v>Trésorerie initiale (EUR)</v>
      </c>
      <c r="C7" s="18" t="n">
        <v>1000000</v>
      </c>
      <c r="D7" s="2"/>
      <c r="E7" s="2"/>
      <c r="F7" s="2" t="str">
        <v>Actif net EUR</v>
      </c>
      <c r="G7" s="2"/>
      <c r="H7" s="2"/>
      <c r="I7" s="26" t="n">
        <f>INDEX('Calculs'!$H$201:$H$220,MATCH($C$6,'Calculs'!$B$201:$B$220,0))</f>
        <v>1002641.1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0" customHeight="1">
      <c r="A8" s="2"/>
      <c r="B8" s="2" t="str">
        <v>Parts en circulation</v>
      </c>
      <c r="C8" s="18" t="n">
        <v>10000</v>
      </c>
      <c r="D8" s="2"/>
      <c r="E8" s="2"/>
      <c r="F8" s="2" t="str">
        <v>VL par part EUR</v>
      </c>
      <c r="G8" s="2"/>
      <c r="H8" s="2"/>
      <c r="I8" s="27" t="n">
        <f>INDEX('Calculs'!$J$201:$J$220,MATCH($C$6,'Calculs'!$B$201:$B$220,0))</f>
        <v>100.26411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0" customHeight="1">
      <c r="A9" s="2"/>
      <c r="B9" s="2" t="str">
        <v>Début de période</v>
      </c>
      <c r="C9" s="17" t="n">
        <v>46279</v>
      </c>
      <c r="D9" s="2"/>
      <c r="E9" s="2"/>
      <c r="F9" s="2" t="str">
        <v>Écart espèces EUR</v>
      </c>
      <c r="G9" s="2"/>
      <c r="H9" s="2"/>
      <c r="I9" s="26" t="n">
        <f>INDEX('Rapprochements'!$E$186:$E$205,MATCH($C$6,'Rapprochements'!$B$186:$B$205,0))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0" customHeight="1">
      <c r="A10" s="2"/>
      <c r="B10" s="2" t="str">
        <v>Frais fixes par jour (EUR)</v>
      </c>
      <c r="C10" s="19" t="n">
        <v>10</v>
      </c>
      <c r="D10" s="2"/>
      <c r="E10" s="2"/>
      <c r="F10" s="2" t="str">
        <v>Écart actif net EUR</v>
      </c>
      <c r="G10" s="2"/>
      <c r="H10" s="2"/>
      <c r="I10" s="26" t="n">
        <f>INDEX('Calculs'!$L$201:$L$220,MATCH($C$6,'Calculs'!$B$201:$B$220,0))</f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0" customHeight="1">
      <c r="A11" s="2"/>
      <c r="B11" s="2" t="str">
        <v>Tolérance monétaire (EUR)</v>
      </c>
      <c r="C11" s="19" t="n">
        <v>0.01</v>
      </c>
      <c r="D11" s="2"/>
      <c r="E11" s="2"/>
      <c r="F11" s="2" t="str">
        <v>Contrôles en anomalie</v>
      </c>
      <c r="G11" s="2"/>
      <c r="H11" s="2"/>
      <c r="I11" s="28" t="n">
        <f>COUNTIFS('Rapprochements'!$C$7:$C$66,"&lt;="&amp;$C$6,'Rapprochements'!$C$7:$C$66,"&gt;0",'Rapprochements'!$M$7:$M$66,"&lt;&gt;OK")+COUNTIFS('Rapprochements'!$B$76:$B$175,$C$6,'Rapprochements'!$H$76:$H$175,"&lt;&gt;OK")+COUNTIFS('Rapprochements'!$B$186:$B$205,$C$6,'Rapprochements'!$I$186:$I$205,"&lt;&gt;OK")+SUMIFS('Calculs'!$P$7:$P$76,'Calculs'!$D$7:$D$76,"&lt;="&amp;$C$6)+SUMIFS('Calculs'!$Q$7:$Q$76,'Calculs'!$D$7:$D$76,"&lt;="&amp;$C$6)</f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0" customHeight="1">
      <c r="A12" s="2"/>
      <c r="B12" s="2" t="str">
        <v>Dossier CSV</v>
      </c>
      <c r="C12" s="20" t="str">
        <v>Voir B57 ci-dessous</v>
      </c>
      <c r="D12" s="2"/>
      <c r="E12" s="2"/>
      <c r="F12" s="2" t="str">
        <v>Règlements en retard</v>
      </c>
      <c r="G12" s="2"/>
      <c r="H12" s="2"/>
      <c r="I12" s="28" t="n">
        <f>SUM('Rapprochements'!$L$7:$L$66)</f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0" customHeight="1">
      <c r="A13" s="2"/>
      <c r="B13" s="2" t="str">
        <v>Chargement vérifié</v>
      </c>
      <c r="C13" s="16" t="str">
        <v>OUI</v>
      </c>
      <c r="D13" s="2"/>
      <c r="E13" s="2"/>
      <c r="F13" s="2" t="str">
        <v>État de la revue</v>
      </c>
      <c r="G13" s="2"/>
      <c r="H13" s="2"/>
      <c r="I13" s="28" t="str">
        <f>IF(I16&lt;&gt;"OK",I16,IF($C$13&lt;&gt;"OUI","Chargement à confirmer",IF(OR(NOT(ISNUMBER(I7)),NOT(ISNUMBER(I8)),NOT(ISNUMBER(I9)),NOT(ISNUMBER(I10))),"Données incomplètes",IF(OR(I11&gt;0,I12&gt;0,ABS(I9)&gt;$C$11,ABS(I10)&gt;$C$11),"Revue à poursuivre","Contrôles rapprochés"))))</f>
        <v>Contrôles rapprochés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0" customHeight="1">
      <c r="A15" s="2"/>
      <c r="B15" s="10" t="str">
        <v>Après Actualiser tout : vérifier les erreurs de requête, puis confirmer le chargement en C13.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0" customHeight="1">
      <c r="A16" s="2"/>
      <c r="B16" s="2"/>
      <c r="C16" s="2"/>
      <c r="D16" s="2"/>
      <c r="E16" s="2"/>
      <c r="F16" s="2" t="str">
        <v>Dossier et capacité</v>
      </c>
      <c r="G16" s="2"/>
      <c r="H16" s="2"/>
      <c r="I16" s="2" t="str">
        <f>IF(OR(LEFT('Transactions'!$T$7,6)="ERREUR",MIN('Transactions'!$U$7:$Z$7)&lt;0),"Import incomplet ou en erreur",IF($B$57&lt;&gt;'Transactions'!$T$7,"Actualisation requise",IF(OR('Transactions'!$U$7&gt;60,'Transactions'!$V$7&gt;60,'Transactions'!$W$7&gt;100,'Transactions'!$X$7&gt;100,'Transactions'!$Y$7&gt;20,'Transactions'!$Z$7&gt;20),"Capacité dépassée","OK")))</f>
        <v>OK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0" customHeight="1">
      <c r="A18" s="2"/>
      <c r="B18" s="9" t="str">
        <v>Historique des calculs sur données chargées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0" customHeight="1">
      <c r="A19" s="2"/>
      <c r="B19" s="2"/>
      <c r="C19" s="2"/>
      <c r="D19" s="2"/>
      <c r="E19" s="2"/>
      <c r="F19" s="2"/>
      <c r="G19" s="10" t="str">
        <v>Les compteurs incluent les contrôles liés : un incident peut déclencher plusieurs écarts.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34" customHeight="1">
      <c r="A20" s="2"/>
      <c r="B20" s="8" t="str">
        <v>Date</v>
      </c>
      <c r="C20" s="8" t="str">
        <v>Actif net EUR</v>
      </c>
      <c r="D20" s="8" t="str">
        <v>VL EUR</v>
      </c>
      <c r="E20" s="8" t="str">
        <v>Écart actif net EUR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tr">
        <v>VL graphique (NA = indisponible)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0" customHeight="1">
      <c r="A21" s="2"/>
      <c r="B21" s="11" t="n">
        <f>IF('Calculs'!N201=1,'Calculs'!B201,"")</f>
        <v>46279</v>
      </c>
      <c r="C21" s="12" t="n">
        <f>IF(B21="","",'Calculs'!H201)</f>
        <v>999916</v>
      </c>
      <c r="D21" s="14" t="n">
        <f>IF(B21="","",'Calculs'!J201)</f>
        <v>99.9916</v>
      </c>
      <c r="E21" s="12" t="n">
        <f>IF(B21="","",'Calculs'!L201)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n">
        <f>IF(ISNUMBER(D21),D21,NA())</f>
        <v>99.9916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0" customHeight="1">
      <c r="A22" s="2"/>
      <c r="B22" s="11" t="n">
        <f>IF('Calculs'!N202=1,'Calculs'!B202,"")</f>
        <v>46280</v>
      </c>
      <c r="C22" s="12" t="n">
        <f>IF(B22="","",'Calculs'!H202)</f>
        <v>1000921.5</v>
      </c>
      <c r="D22" s="14" t="n">
        <f>IF(B22="","",'Calculs'!J202)</f>
        <v>100.09215</v>
      </c>
      <c r="E22" s="12" t="n">
        <f>IF(B22="","",'Calculs'!L202)</f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n">
        <f>IF(ISNUMBER(D22),D22,NA())</f>
        <v>100.09215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0" customHeight="1">
      <c r="A23" s="2"/>
      <c r="B23" s="11" t="n">
        <f>IF('Calculs'!N203=1,'Calculs'!B203,"")</f>
        <v>46281</v>
      </c>
      <c r="C23" s="12" t="n">
        <f>IF(B23="","",'Calculs'!H203)</f>
        <v>1000894.5</v>
      </c>
      <c r="D23" s="14" t="n">
        <f>IF(B23="","",'Calculs'!J203)</f>
        <v>100.08945</v>
      </c>
      <c r="E23" s="12" t="n">
        <f>IF(B23="","",'Calculs'!L203)</f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n">
        <f>IF(ISNUMBER(D23),D23,NA())</f>
        <v>100.08945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0" customHeight="1">
      <c r="A24" s="2"/>
      <c r="B24" s="11" t="n">
        <f>IF('Calculs'!N204=1,'Calculs'!B204,"")</f>
        <v>46282</v>
      </c>
      <c r="C24" s="12" t="n">
        <f>IF(B24="","",'Calculs'!H204)</f>
        <v>1000815.9</v>
      </c>
      <c r="D24" s="14" t="n">
        <f>IF(B24="","",'Calculs'!J204)</f>
        <v>100.08159</v>
      </c>
      <c r="E24" s="12" t="n">
        <f>IF(B24="","",'Calculs'!L204)</f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n">
        <f>IF(ISNUMBER(D24),D24,NA())</f>
        <v>100.08159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0" customHeight="1">
      <c r="A25" s="2"/>
      <c r="B25" s="11" t="n">
        <f>IF('Calculs'!N205=1,'Calculs'!B205,"")</f>
        <v>46283</v>
      </c>
      <c r="C25" s="12" t="n">
        <f>IF(B25="","",'Calculs'!H205)</f>
        <v>1001871.9</v>
      </c>
      <c r="D25" s="14" t="n">
        <f>IF(B25="","",'Calculs'!J205)</f>
        <v>100.18719</v>
      </c>
      <c r="E25" s="12" t="n">
        <f>IF(B25="","",'Calculs'!L205)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n">
        <f>IF(ISNUMBER(D25),D25,NA())</f>
        <v>100.18719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0" customHeight="1">
      <c r="A26" s="2"/>
      <c r="B26" s="11" t="n">
        <f>IF('Calculs'!N206=1,'Calculs'!B206,"")</f>
        <v>46286</v>
      </c>
      <c r="C26" s="12" t="n">
        <f>IF(B26="","",'Calculs'!H206)</f>
        <v>1001690.2</v>
      </c>
      <c r="D26" s="14" t="n">
        <f>IF(B26="","",'Calculs'!J206)</f>
        <v>100.16901999999999</v>
      </c>
      <c r="E26" s="12" t="n">
        <f>IF(B26="","",'Calculs'!L206)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n">
        <f>IF(ISNUMBER(D26),D26,NA())</f>
        <v>100.16901999999999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0" customHeight="1">
      <c r="A27" s="2"/>
      <c r="B27" s="11" t="n">
        <f>IF('Calculs'!N207=1,'Calculs'!B207,"")</f>
        <v>46287</v>
      </c>
      <c r="C27" s="12" t="n">
        <f>IF(B27="","",'Calculs'!H207)</f>
        <v>1001790</v>
      </c>
      <c r="D27" s="14" t="n">
        <f>IF(B27="","",'Calculs'!J207)</f>
        <v>100.179</v>
      </c>
      <c r="E27" s="12" t="n">
        <f>IF(B27="","",'Calculs'!L207)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n">
        <f>IF(ISNUMBER(D27),D27,NA())</f>
        <v>100.179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0" customHeight="1">
      <c r="A28" s="2"/>
      <c r="B28" s="11" t="n">
        <f>IF('Calculs'!N208=1,'Calculs'!B208,"")</f>
        <v>46288</v>
      </c>
      <c r="C28" s="12" t="n">
        <f>IF(B28="","",'Calculs'!H208)</f>
        <v>1002732.15</v>
      </c>
      <c r="D28" s="14" t="n">
        <f>IF(B28="","",'Calculs'!J208)</f>
        <v>100.27321500000001</v>
      </c>
      <c r="E28" s="12" t="n">
        <f>IF(B28="","",'Calculs'!L208)</f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n">
        <f>IF(ISNUMBER(D28),D28,NA())</f>
        <v>100.27321500000001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0" customHeight="1">
      <c r="A29" s="2"/>
      <c r="B29" s="11" t="n">
        <f>IF('Calculs'!N209=1,'Calculs'!B209,"")</f>
        <v>46289</v>
      </c>
      <c r="C29" s="12" t="n">
        <f>IF(B29="","",'Calculs'!H209)</f>
        <v>1002596.65</v>
      </c>
      <c r="D29" s="14" t="n">
        <f>IF(B29="","",'Calculs'!J209)</f>
        <v>100.259665</v>
      </c>
      <c r="E29" s="12" t="n">
        <f>IF(B29="","",'Calculs'!L209)</f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n">
        <f>IF(ISNUMBER(D29),D29,NA())</f>
        <v>100.259665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0" customHeight="1">
      <c r="A30" s="2"/>
      <c r="B30" s="11" t="n">
        <f>IF('Calculs'!N210=1,'Calculs'!B210,"")</f>
        <v>46290</v>
      </c>
      <c r="C30" s="12" t="n">
        <f>IF(B30="","",'Calculs'!H210)</f>
        <v>1002641.1</v>
      </c>
      <c r="D30" s="14" t="n">
        <f>IF(B30="","",'Calculs'!J210)</f>
        <v>100.26411</v>
      </c>
      <c r="E30" s="12" t="n">
        <f>IF(B30="","",'Calculs'!L210)</f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n">
        <f>IF(ISNUMBER(D30),D30,NA())</f>
        <v>100.26411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0" customHeight="1">
      <c r="A31" s="2"/>
      <c r="B31" s="11" t="str">
        <f>IF('Calculs'!N211=1,'Calculs'!B211,"")</f>
      </c>
      <c r="C31" s="12" t="str">
        <f>IF(B31="","",'Calculs'!H211)</f>
      </c>
      <c r="D31" s="14" t="str">
        <f>IF(B31="","",'Calculs'!J211)</f>
      </c>
      <c r="E31" s="12" t="str">
        <f>IF(B31="","",'Calculs'!L211)</f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e">
        <f>IF(ISNUMBER(D31),D31,NA())</f>
        <v>#N/A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0" customHeight="1">
      <c r="A32" s="2"/>
      <c r="B32" s="11" t="str">
        <f>IF('Calculs'!N212=1,'Calculs'!B212,"")</f>
      </c>
      <c r="C32" s="12" t="str">
        <f>IF(B32="","",'Calculs'!H212)</f>
      </c>
      <c r="D32" s="14" t="str">
        <f>IF(B32="","",'Calculs'!J212)</f>
      </c>
      <c r="E32" s="12" t="str">
        <f>IF(B32="","",'Calculs'!L212)</f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e">
        <f>IF(ISNUMBER(D32),D32,NA())</f>
        <v>#N/A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0" customHeight="1">
      <c r="A33" s="2"/>
      <c r="B33" s="11" t="str">
        <f>IF('Calculs'!N213=1,'Calculs'!B213,"")</f>
      </c>
      <c r="C33" s="12" t="str">
        <f>IF(B33="","",'Calculs'!H213)</f>
      </c>
      <c r="D33" s="14" t="str">
        <f>IF(B33="","",'Calculs'!J213)</f>
      </c>
      <c r="E33" s="12" t="str">
        <f>IF(B33="","",'Calculs'!L213)</f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e">
        <f>IF(ISNUMBER(D33),D33,NA())</f>
        <v>#N/A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0" customHeight="1">
      <c r="A34" s="2"/>
      <c r="B34" s="11" t="str">
        <f>IF('Calculs'!N214=1,'Calculs'!B214,"")</f>
      </c>
      <c r="C34" s="12" t="str">
        <f>IF(B34="","",'Calculs'!H214)</f>
      </c>
      <c r="D34" s="14" t="str">
        <f>IF(B34="","",'Calculs'!J214)</f>
      </c>
      <c r="E34" s="12" t="str">
        <f>IF(B34="","",'Calculs'!L214)</f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e">
        <f>IF(ISNUMBER(D34),D34,NA())</f>
        <v>#N/A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0" customHeight="1">
      <c r="A35" s="2"/>
      <c r="B35" s="11" t="str">
        <f>IF('Calculs'!N215=1,'Calculs'!B215,"")</f>
      </c>
      <c r="C35" s="12" t="str">
        <f>IF(B35="","",'Calculs'!H215)</f>
      </c>
      <c r="D35" s="14" t="str">
        <f>IF(B35="","",'Calculs'!J215)</f>
      </c>
      <c r="E35" s="12" t="str">
        <f>IF(B35="","",'Calculs'!L215)</f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e">
        <f>IF(ISNUMBER(D35),D35,NA())</f>
        <v>#N/A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0" customHeight="1">
      <c r="A36" s="2"/>
      <c r="B36" s="11" t="str">
        <f>IF('Calculs'!N216=1,'Calculs'!B216,"")</f>
      </c>
      <c r="C36" s="12" t="str">
        <f>IF(B36="","",'Calculs'!H216)</f>
      </c>
      <c r="D36" s="14" t="str">
        <f>IF(B36="","",'Calculs'!J216)</f>
      </c>
      <c r="E36" s="12" t="str">
        <f>IF(B36="","",'Calculs'!L216)</f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e">
        <f>IF(ISNUMBER(D36),D36,NA())</f>
        <v>#N/A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0" customHeight="1">
      <c r="A37" s="2"/>
      <c r="B37" s="11" t="str">
        <f>IF('Calculs'!N217=1,'Calculs'!B217,"")</f>
      </c>
      <c r="C37" s="12" t="str">
        <f>IF(B37="","",'Calculs'!H217)</f>
      </c>
      <c r="D37" s="14" t="str">
        <f>IF(B37="","",'Calculs'!J217)</f>
      </c>
      <c r="E37" s="12" t="str">
        <f>IF(B37="","",'Calculs'!L217)</f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e">
        <f>IF(ISNUMBER(D37),D37,NA())</f>
        <v>#N/A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0" customHeight="1">
      <c r="A38" s="2"/>
      <c r="B38" s="11" t="str">
        <f>IF('Calculs'!N218=1,'Calculs'!B218,"")</f>
      </c>
      <c r="C38" s="12" t="str">
        <f>IF(B38="","",'Calculs'!H218)</f>
      </c>
      <c r="D38" s="14" t="str">
        <f>IF(B38="","",'Calculs'!J218)</f>
      </c>
      <c r="E38" s="12" t="str">
        <f>IF(B38="","",'Calculs'!L218)</f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e">
        <f>IF(ISNUMBER(D38),D38,NA())</f>
        <v>#N/A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0" customHeight="1">
      <c r="A39" s="2"/>
      <c r="B39" s="11" t="str">
        <f>IF('Calculs'!N219=1,'Calculs'!B219,"")</f>
      </c>
      <c r="C39" s="12" t="str">
        <f>IF(B39="","",'Calculs'!H219)</f>
      </c>
      <c r="D39" s="14" t="str">
        <f>IF(B39="","",'Calculs'!J219)</f>
      </c>
      <c r="E39" s="12" t="str">
        <f>IF(B39="","",'Calculs'!L219)</f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e">
        <f>IF(ISNUMBER(D39),D39,NA())</f>
        <v>#N/A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0" customHeight="1">
      <c r="A40" s="2"/>
      <c r="B40" s="11" t="str">
        <f>IF('Calculs'!N220=1,'Calculs'!B220,"")</f>
      </c>
      <c r="C40" s="12" t="str">
        <f>IF(B40="","",'Calculs'!H220)</f>
      </c>
      <c r="D40" s="14" t="str">
        <f>IF(B40="","",'Calculs'!J220)</f>
      </c>
      <c r="E40" s="12" t="str">
        <f>IF(B40="","",'Calculs'!L220)</f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e">
        <f>IF(ISNUMBER(D40),D40,NA())</f>
        <v>#N/A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0" customHeight="1">
      <c r="A42" s="2"/>
      <c r="B42" s="2"/>
      <c r="C42" s="2"/>
      <c r="D42" s="2"/>
      <c r="E42" s="2"/>
      <c r="F42" s="2"/>
      <c r="G42" s="9" t="str">
        <v>Synthèse des incidents par catégorie (TCD natif)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34" customHeight="1">
      <c r="A44" s="2"/>
      <c r="B44" s="2"/>
      <c r="C44" s="2"/>
      <c r="D44" s="2"/>
      <c r="E44" s="2"/>
      <c r="F44" s="2"/>
      <c r="G44" s="8" t="str">
        <v>Catégorie</v>
      </c>
      <c r="H44" s="8" t="str">
        <v>Alertes actives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0" customHeight="1">
      <c r="A45" s="2"/>
      <c r="B45" s="2"/>
      <c r="C45" s="2"/>
      <c r="D45" s="2"/>
      <c r="E45" s="2"/>
      <c r="F45" s="2"/>
      <c r="G45" s="2" t="str">
        <v>Opération absente</v>
      </c>
      <c r="H45" s="2" t="n">
        <v>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0" customHeight="1">
      <c r="A46" s="2"/>
      <c r="B46" s="2"/>
      <c r="C46" s="2"/>
      <c r="D46" s="2"/>
      <c r="E46" s="2"/>
      <c r="F46" s="2"/>
      <c r="G46" s="2" t="str">
        <v>Doublon</v>
      </c>
      <c r="H46" s="2" t="n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0" customHeight="1">
      <c r="A47" s="2"/>
      <c r="B47" s="2"/>
      <c r="C47" s="2"/>
      <c r="D47" s="2"/>
      <c r="E47" s="2"/>
      <c r="F47" s="2"/>
      <c r="G47" s="2" t="str">
        <v>Quantité incorrecte</v>
      </c>
      <c r="H47" s="2" t="n"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0" customHeight="1">
      <c r="A48" s="2"/>
      <c r="B48" s="2"/>
      <c r="C48" s="2"/>
      <c r="D48" s="2"/>
      <c r="E48" s="2"/>
      <c r="F48" s="2"/>
      <c r="G48" s="2" t="str">
        <v>Flux non comptabilisé</v>
      </c>
      <c r="H48" s="2" t="n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0" customHeight="1">
      <c r="A49" s="2"/>
      <c r="B49" s="2"/>
      <c r="C49" s="2"/>
      <c r="D49" s="2"/>
      <c r="E49" s="2"/>
      <c r="F49" s="2"/>
      <c r="G49" s="2" t="str">
        <v>Cours périmé</v>
      </c>
      <c r="H49" s="2" t="n"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0" customHeight="1">
      <c r="A50" s="2"/>
      <c r="B50" s="2"/>
      <c r="C50" s="2"/>
      <c r="D50" s="2"/>
      <c r="E50" s="2"/>
      <c r="F50" s="2"/>
      <c r="G50" s="2" t="str">
        <v>Règlement en retard</v>
      </c>
      <c r="H50" s="2" t="n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0" customHeight="1">
      <c r="A51" s="2"/>
      <c r="B51" s="2"/>
      <c r="C51" s="2"/>
      <c r="D51" s="2"/>
      <c r="E51" s="2"/>
      <c r="F51" s="2"/>
      <c r="G51" s="2" t="str">
        <v>Total général</v>
      </c>
      <c r="H51" s="2" t="n">
        <v>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0" customHeight="1">
      <c r="A55" s="2"/>
      <c r="B55" s="9" t="str">
        <v>Dossier des CSV à importer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0" customHeight="1">
      <c r="A57" s="2"/>
      <c r="B57" s="16" t="str">
        <v>SET_ABSOLUTE_PATH_TO_Sources_projet/investigation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2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2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2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2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2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2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2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2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2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2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2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2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2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2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2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2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2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2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2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2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2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2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2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2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2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2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2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2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2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2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2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2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2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2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2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2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2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2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2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2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2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2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2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2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2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2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2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2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2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2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2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2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2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2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2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2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2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2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2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2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2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2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2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2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2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2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2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2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2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2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2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2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2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2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2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2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2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2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2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2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2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2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2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2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2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2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2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2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2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2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2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2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2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2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2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2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2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2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2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2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2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2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2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2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2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2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2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2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2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2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2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2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2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2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2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2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2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2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2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2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2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2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2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2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2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2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2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2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2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2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2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2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2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2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2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2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2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2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2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2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2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2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2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2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2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2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2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2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2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2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2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2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2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2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2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2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2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2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2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2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2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2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2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2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2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2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2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2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2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2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2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2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2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2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2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2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2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2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2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2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2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2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2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2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2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2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2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2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2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2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2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2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2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2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2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2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2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2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2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2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2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2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2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2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2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2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2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2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2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2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2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2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2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2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2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2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2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2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2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2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2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2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2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2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2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2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2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2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2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2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2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2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2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2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2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2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2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2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2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2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2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2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2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2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2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2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2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2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2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2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</sheetData>
  <conditionalFormatting sqref="I9:I10">
    <cfRule type="expression" dxfId="5" priority="1">
      <formula>OR(NOT(ISNUMBER(I9)),ABS(I9)&gt;$C$11)</formula>
    </cfRule>
  </conditionalFormatting>
  <dataValidations count="2">
    <dataValidation type="list" sqref="C6">
      <formula1>'Marché'!$P$7:$P$26</formula1>
    </dataValidation>
    <dataValidation type="list" sqref="C13">
      <formula1>"NON,OUI"</formula1>
    </dataValidation>
  </dataValidations>
  <pageMargins left="0.7" right="0.7" top="0.75" bottom="0.75" header="0.3" footer="0.3"/>
  <drawing xmlns:r="http://schemas.openxmlformats.org/officeDocument/2006/relationships" r:id="R01ebc67bc54b4337"/>
</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Calculs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RecordID</x:v>
      </x:c>
      <x:c r="C6" s="8" t="str">
        <x:v>TradeID</x:v>
      </x:c>
      <x:c r="D6" s="8" t="str">
        <x:v>Date négociation</x:v>
      </x:c>
      <x:c r="E6" s="8" t="str">
        <x:v>Date prévue</x:v>
      </x:c>
      <x:c r="F6" s="8" t="str">
        <x:v>Date effective</x:v>
      </x:c>
      <x:c r="G6" s="8" t="str">
        <x:v>ISIN</x:v>
      </x:c>
      <x:c r="H6" s="8" t="str">
        <x:v>Sens</x:v>
      </x:c>
      <x:c r="I6" s="8" t="str">
        <x:v>Quantité effective</x:v>
      </x:c>
      <x:c r="J6" s="8" t="str">
        <x:v>Prix simulé</x:v>
      </x:c>
      <x:c r="K6" s="8" t="str">
        <x:v>Courtage EUR</x:v>
      </x:c>
      <x:c r="L6" s="8" t="str">
        <x:v>Incluse</x:v>
      </x:c>
      <x:c r="M6" s="8" t="str">
        <x:v>Quantité signée</x:v>
      </x:c>
      <x:c r="N6" s="8" t="str">
        <x:v>Flux net EUR</x:v>
      </x:c>
      <x:c r="O6" s="8" t="str">
        <x:v>Occurrences ID</x:v>
      </x:c>
      <x:c r="P6" s="8" t="str">
        <x:v>Entrée invalide</x:v>
      </x:c>
      <x:c r="Q6" s="8" t="str">
        <x:v>Sans confirmation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0" customHeight="1">
      <x:c r="A7" s="2"/>
      <x:c r="B7" s="30" t="str">
        <x:f>IF('Transactions'!B7="","",'Transactions'!B7)</x:f>
        <x:v>REC-001</x:v>
      </x:c>
      <x:c r="C7" s="30" t="str">
        <x:f>IF('Transactions'!B7="","",'Transactions'!C7)</x:f>
        <x:v>TR-001</x:v>
      </x:c>
      <x:c r="D7" s="31" t="n">
        <x:f>IF('Transactions'!B7="","",'Transactions'!D7)</x:f>
        <x:v>46279</x:v>
      </x:c>
      <x:c r="E7" s="31" t="n">
        <x:f>IF('Transactions'!B7="","",'Transactions'!E7)</x:f>
        <x:v>46281</x:v>
      </x:c>
      <x:c r="F7" s="31" t="n">
        <x:f>IF('Transactions'!B7="","",IF('Transactions'!F7="",0,'Transactions'!F7))</x:f>
        <x:v>46281</x:v>
      </x:c>
      <x:c r="G7" s="30" t="str">
        <x:f>IF('Transactions'!B7="","",'Transactions'!G7)</x:f>
        <x:v>FR0000120073</x:v>
      </x:c>
      <x:c r="H7" s="30" t="str">
        <x:f>IF('Transactions'!B7="","",'Transactions'!H7)</x:f>
        <x:v>ACHAT</x:v>
      </x:c>
      <x:c r="I7" s="32" t="n">
        <x:f>IF(B7="","",IF(COUNTIFS('Anomalies'!$C$19:$C$23,B7,'Anomalies'!$D$19:$D$23,"Quantite",'Anomalies'!$F$19:$F$23,"OUI")=1,SUMIFS('Anomalies'!$E$19:$E$23,'Anomalies'!$C$19:$C$23,B7,'Anomalies'!$D$19:$D$23,"Quantite",'Anomalies'!$F$19:$F$23,"OUI"),'Transactions'!I7))</x:f>
        <x:v>600</x:v>
      </x:c>
      <x:c r="J7" s="32" t="n">
        <x:f>IF('Transactions'!B7="","",'Transactions'!J7)</x:f>
        <x:v>164.58</x:v>
      </x:c>
      <x:c r="K7" s="32" t="n">
        <x:f>IF('Transactions'!B7="","",'Transactions'!K7)</x:f>
        <x:v>5</x:v>
      </x:c>
      <x:c r="L7" s="30" t="n">
        <x:f>IF(B7="",0,IF(COUNTIFS('Anomalies'!$C$19:$C$23,B7,'Anomalies'!$D$19:$D$23,"Exclure",'Anomalies'!$F$19:$F$23,"OUI")&gt;0,0,1))</x:f>
        <x:v>1</x:v>
      </x:c>
      <x:c r="M7" s="30" t="n">
        <x:f>IF(B7="","",IF(H7="ACHAT",I7,-I7)*L7)</x:f>
        <x:v>600</x:v>
      </x:c>
      <x:c r="N7" s="32" t="n">
        <x:f>IF(B7="","",ROUND(IF(H7="ACHAT",-I7*J7-K7,I7*J7-K7)*L7,2))</x:f>
        <x:v>-98753</x:v>
      </x:c>
      <x:c r="O7" s="30" t="n">
        <x:f>IF(B7="","",COUNTIFS($C$7:$C$76,C7,$L$7:$L$76,1))</x:f>
        <x:v>1</x:v>
      </x:c>
      <x:c r="P7" s="30" t="n">
        <x:f>IF(OR(B7="",L7=0),0,IF(AND(COUNTIFS($B$7:$B$76,B7,$L$7:$L$76,1)=1,C7&lt;&gt;"",'Transactions'!L7="EUR",ISNUMBER(D7),D7&gt;0,ISNUMBER(E7),E7&gt;=D7,OR(F7=0,AND(ISNUMBER(F7),F7&gt;=D7)),COUNTIFS('Marché'!$J$7:$J$11,G7)=1,OR(H7="ACHAT",H7="VENTE"),ISNUMBER(I7),I7&gt;0,ISNUMBER(J7),J7&gt;0,ISNUMBER(K7),K7&gt;=0),0,1))</x:f>
        <x:v>0</x:v>
      </x:c>
      <x:c r="Q7" s="30" t="n">
        <x:f>IF(OR(B7="",L7=0),0,IF(COUNTIFS('Dépositaire'!$C$7:$C$66,C7)=1,0,1))</x:f>
        <x:v>0</x:v>
      </x:c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0" customHeight="1">
      <x:c r="A8" s="2"/>
      <x:c r="B8" s="30" t="str">
        <x:f>IF('Transactions'!B8="","",'Transactions'!B8)</x:f>
        <x:v>REC-002</x:v>
      </x:c>
      <x:c r="C8" s="30" t="str">
        <x:f>IF('Transactions'!B8="","",'Transactions'!C8)</x:f>
        <x:v>TR-002</x:v>
      </x:c>
      <x:c r="D8" s="31" t="n">
        <x:f>IF('Transactions'!B8="","",'Transactions'!D8)</x:f>
        <x:v>46279</x:v>
      </x:c>
      <x:c r="E8" s="31" t="n">
        <x:f>IF('Transactions'!B8="","",'Transactions'!E8)</x:f>
        <x:v>46281</x:v>
      </x:c>
      <x:c r="F8" s="31" t="n">
        <x:f>IF('Transactions'!B8="","",IF('Transactions'!F8="",0,'Transactions'!F8))</x:f>
        <x:v>46281</x:v>
      </x:c>
      <x:c r="G8" s="30" t="str">
        <x:f>IF('Transactions'!B8="","",'Transactions'!G8)</x:f>
        <x:v>FR0000121972</x:v>
      </x:c>
      <x:c r="H8" s="30" t="str">
        <x:f>IF('Transactions'!B8="","",'Transactions'!H8)</x:f>
        <x:v>ACHAT</x:v>
      </x:c>
      <x:c r="I8" s="32" t="n">
        <x:f>IF(B8="","",IF(COUNTIFS('Anomalies'!$C$19:$C$23,B8,'Anomalies'!$D$19:$D$23,"Quantite",'Anomalies'!$F$19:$F$23,"OUI")=1,SUMIFS('Anomalies'!$E$19:$E$23,'Anomalies'!$C$19:$C$23,B8,'Anomalies'!$D$19:$D$23,"Quantite",'Anomalies'!$F$19:$F$23,"OUI"),'Transactions'!I8))</x:f>
        <x:v>400</x:v>
      </x:c>
      <x:c r="J8" s="32" t="n">
        <x:f>IF('Transactions'!B8="","",'Transactions'!J8)</x:f>
        <x:v>210.39</x:v>
      </x:c>
      <x:c r="K8" s="32" t="n">
        <x:f>IF('Transactions'!B8="","",'Transactions'!K8)</x:f>
        <x:v>5</x:v>
      </x:c>
      <x:c r="L8" s="30" t="n">
        <x:f>IF(B8="",0,IF(COUNTIFS('Anomalies'!$C$19:$C$23,B8,'Anomalies'!$D$19:$D$23,"Exclure",'Anomalies'!$F$19:$F$23,"OUI")&gt;0,0,1))</x:f>
        <x:v>1</x:v>
      </x:c>
      <x:c r="M8" s="30" t="n">
        <x:f>IF(B8="","",IF(H8="ACHAT",I8,-I8)*L8)</x:f>
        <x:v>400</x:v>
      </x:c>
      <x:c r="N8" s="32" t="n">
        <x:f>IF(B8="","",ROUND(IF(H8="ACHAT",-I8*J8-K8,I8*J8-K8)*L8,2))</x:f>
        <x:v>-84161</x:v>
      </x:c>
      <x:c r="O8" s="30" t="n">
        <x:f>IF(B8="","",COUNTIFS($C$7:$C$76,C8,$L$7:$L$76,1))</x:f>
        <x:v>1</x:v>
      </x:c>
      <x:c r="P8" s="30" t="n">
        <x:f>IF(OR(B8="",L8=0),0,IF(AND(COUNTIFS($B$7:$B$76,B8,$L$7:$L$76,1)=1,C8&lt;&gt;"",'Transactions'!L8="EUR",ISNUMBER(D8),D8&gt;0,ISNUMBER(E8),E8&gt;=D8,OR(F8=0,AND(ISNUMBER(F8),F8&gt;=D8)),COUNTIFS('Marché'!$J$7:$J$11,G8)=1,OR(H8="ACHAT",H8="VENTE"),ISNUMBER(I8),I8&gt;0,ISNUMBER(J8),J8&gt;0,ISNUMBER(K8),K8&gt;=0),0,1))</x:f>
        <x:v>0</x:v>
      </x:c>
      <x:c r="Q8" s="30" t="n">
        <x:f>IF(OR(B8="",L8=0),0,IF(COUNTIFS('Dépositaire'!$C$7:$C$66,C8)=1,0,1))</x:f>
        <x:v>0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0" customHeight="1">
      <x:c r="A9" s="2"/>
      <x:c r="B9" s="30" t="str">
        <x:f>IF('Transactions'!B9="","",'Transactions'!B9)</x:f>
        <x:v>REC-003</x:v>
      </x:c>
      <x:c r="C9" s="30" t="str">
        <x:f>IF('Transactions'!B9="","",'Transactions'!C9)</x:f>
        <x:v>TR-003</x:v>
      </x:c>
      <x:c r="D9" s="31" t="n">
        <x:f>IF('Transactions'!B9="","",'Transactions'!D9)</x:f>
        <x:v>46279</x:v>
      </x:c>
      <x:c r="E9" s="31" t="n">
        <x:f>IF('Transactions'!B9="","",'Transactions'!E9)</x:f>
        <x:v>46281</x:v>
      </x:c>
      <x:c r="F9" s="31" t="n">
        <x:f>IF('Transactions'!B9="","",IF('Transactions'!F9="",0,'Transactions'!F9))</x:f>
        <x:v>46281</x:v>
      </x:c>
      <x:c r="G9" s="30" t="str">
        <x:f>IF('Transactions'!B9="","",'Transactions'!G9)</x:f>
        <x:v>FR0000120644</x:v>
      </x:c>
      <x:c r="H9" s="30" t="str">
        <x:f>IF('Transactions'!B9="","",'Transactions'!H9)</x:f>
        <x:v>ACHAT</x:v>
      </x:c>
      <x:c r="I9" s="32" t="n">
        <x:f>IF(B9="","",IF(COUNTIFS('Anomalies'!$C$19:$C$23,B9,'Anomalies'!$D$19:$D$23,"Quantite",'Anomalies'!$F$19:$F$23,"OUI")=1,SUMIFS('Anomalies'!$E$19:$E$23,'Anomalies'!$C$19:$C$23,B9,'Anomalies'!$D$19:$D$23,"Quantite",'Anomalies'!$F$19:$F$23,"OUI"),'Transactions'!I9))</x:f>
        <x:v>1800</x:v>
      </x:c>
      <x:c r="J9" s="32" t="n">
        <x:f>IF('Transactions'!B9="","",'Transactions'!J9)</x:f>
        <x:v>60.03</x:v>
      </x:c>
      <x:c r="K9" s="32" t="n">
        <x:f>IF('Transactions'!B9="","",'Transactions'!K9)</x:f>
        <x:v>5</x:v>
      </x:c>
      <x:c r="L9" s="30" t="n">
        <x:f>IF(B9="",0,IF(COUNTIFS('Anomalies'!$C$19:$C$23,B9,'Anomalies'!$D$19:$D$23,"Exclure",'Anomalies'!$F$19:$F$23,"OUI")&gt;0,0,1))</x:f>
        <x:v>1</x:v>
      </x:c>
      <x:c r="M9" s="30" t="n">
        <x:f>IF(B9="","",IF(H9="ACHAT",I9,-I9)*L9)</x:f>
        <x:v>1800</x:v>
      </x:c>
      <x:c r="N9" s="32" t="n">
        <x:f>IF(B9="","",ROUND(IF(H9="ACHAT",-I9*J9-K9,I9*J9-K9)*L9,2))</x:f>
        <x:v>-108059</x:v>
      </x:c>
      <x:c r="O9" s="30" t="n">
        <x:f>IF(B9="","",COUNTIFS($C$7:$C$76,C9,$L$7:$L$76,1))</x:f>
        <x:v>1</x:v>
      </x:c>
      <x:c r="P9" s="30" t="n">
        <x:f>IF(OR(B9="",L9=0),0,IF(AND(COUNTIFS($B$7:$B$76,B9,$L$7:$L$76,1)=1,C9&lt;&gt;"",'Transactions'!L9="EUR",ISNUMBER(D9),D9&gt;0,ISNUMBER(E9),E9&gt;=D9,OR(F9=0,AND(ISNUMBER(F9),F9&gt;=D9)),COUNTIFS('Marché'!$J$7:$J$11,G9)=1,OR(H9="ACHAT",H9="VENTE"),ISNUMBER(I9),I9&gt;0,ISNUMBER(J9),J9&gt;0,ISNUMBER(K9),K9&gt;=0),0,1))</x:f>
        <x:v>0</x:v>
      </x:c>
      <x:c r="Q9" s="30" t="n">
        <x:f>IF(OR(B9="",L9=0),0,IF(COUNTIFS('Dépositaire'!$C$7:$C$66,C9)=1,0,1))</x:f>
        <x:v>0</x:v>
      </x:c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0" customHeight="1">
      <x:c r="A10" s="2"/>
      <x:c r="B10" s="30" t="str">
        <x:f>IF('Transactions'!B10="","",'Transactions'!B10)</x:f>
        <x:v>REC-004</x:v>
      </x:c>
      <x:c r="C10" s="30" t="str">
        <x:f>IF('Transactions'!B10="","",'Transactions'!C10)</x:f>
        <x:v>TR-004</x:v>
      </x:c>
      <x:c r="D10" s="31" t="n">
        <x:f>IF('Transactions'!B10="","",'Transactions'!D10)</x:f>
        <x:v>46279</x:v>
      </x:c>
      <x:c r="E10" s="31" t="n">
        <x:f>IF('Transactions'!B10="","",'Transactions'!E10)</x:f>
        <x:v>46281</x:v>
      </x:c>
      <x:c r="F10" s="31" t="n">
        <x:f>IF('Transactions'!B10="","",IF('Transactions'!F10="",0,'Transactions'!F10))</x:f>
        <x:v>46281</x:v>
      </x:c>
      <x:c r="G10" s="30" t="str">
        <x:f>IF('Transactions'!B10="","",'Transactions'!G10)</x:f>
        <x:v>FR0000125486</x:v>
      </x:c>
      <x:c r="H10" s="30" t="str">
        <x:f>IF('Transactions'!B10="","",'Transactions'!H10)</x:f>
        <x:v>ACHAT</x:v>
      </x:c>
      <x:c r="I10" s="32" t="n">
        <x:f>IF(B10="","",IF(COUNTIFS('Anomalies'!$C$19:$C$23,B10,'Anomalies'!$D$19:$D$23,"Quantite",'Anomalies'!$F$19:$F$23,"OUI")=1,SUMIFS('Anomalies'!$E$19:$E$23,'Anomalies'!$C$19:$C$23,B10,'Anomalies'!$D$19:$D$23,"Quantite",'Anomalies'!$F$19:$F$23,"OUI"),'Transactions'!I10))</x:f>
        <x:v>900</x:v>
      </x:c>
      <x:c r="J10" s="32" t="n">
        <x:f>IF('Transactions'!B10="","",'Transactions'!J10)</x:f>
        <x:v>114.64</x:v>
      </x:c>
      <x:c r="K10" s="32" t="n">
        <x:f>IF('Transactions'!B10="","",'Transactions'!K10)</x:f>
        <x:v>5</x:v>
      </x:c>
      <x:c r="L10" s="30" t="n">
        <x:f>IF(B10="",0,IF(COUNTIFS('Anomalies'!$C$19:$C$23,B10,'Anomalies'!$D$19:$D$23,"Exclure",'Anomalies'!$F$19:$F$23,"OUI")&gt;0,0,1))</x:f>
        <x:v>1</x:v>
      </x:c>
      <x:c r="M10" s="30" t="n">
        <x:f>IF(B10="","",IF(H10="ACHAT",I10,-I10)*L10)</x:f>
        <x:v>900</x:v>
      </x:c>
      <x:c r="N10" s="32" t="n">
        <x:f>IF(B10="","",ROUND(IF(H10="ACHAT",-I10*J10-K10,I10*J10-K10)*L10,2))</x:f>
        <x:v>-103181</x:v>
      </x:c>
      <x:c r="O10" s="30" t="n">
        <x:f>IF(B10="","",COUNTIFS($C$7:$C$76,C10,$L$7:$L$76,1))</x:f>
        <x:v>1</x:v>
      </x:c>
      <x:c r="P10" s="30" t="n">
        <x:f>IF(OR(B10="",L10=0),0,IF(AND(COUNTIFS($B$7:$B$76,B10,$L$7:$L$76,1)=1,C10&lt;&gt;"",'Transactions'!L10="EUR",ISNUMBER(D10),D10&gt;0,ISNUMBER(E10),E10&gt;=D10,OR(F10=0,AND(ISNUMBER(F10),F10&gt;=D10)),COUNTIFS('Marché'!$J$7:$J$11,G10)=1,OR(H10="ACHAT",H10="VENTE"),ISNUMBER(I10),I10&gt;0,ISNUMBER(J10),J10&gt;0,ISNUMBER(K10),K10&gt;=0),0,1))</x:f>
        <x:v>0</x:v>
      </x:c>
      <x:c r="Q10" s="30" t="n">
        <x:f>IF(OR(B10="",L10=0),0,IF(COUNTIFS('Dépositaire'!$C$7:$C$66,C10)=1,0,1))</x:f>
        <x:v>0</x:v>
      </x:c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0" customHeight="1">
      <x:c r="A11" s="2"/>
      <x:c r="B11" s="30" t="str">
        <x:f>IF('Transactions'!B11="","",'Transactions'!B11)</x:f>
        <x:v>REC-005</x:v>
      </x:c>
      <x:c r="C11" s="30" t="str">
        <x:f>IF('Transactions'!B11="","",'Transactions'!C11)</x:f>
        <x:v>TR-005</x:v>
      </x:c>
      <x:c r="D11" s="31" t="n">
        <x:f>IF('Transactions'!B11="","",'Transactions'!D11)</x:f>
        <x:v>46279</x:v>
      </x:c>
      <x:c r="E11" s="31" t="n">
        <x:f>IF('Transactions'!B11="","",'Transactions'!E11)</x:f>
        <x:v>46281</x:v>
      </x:c>
      <x:c r="F11" s="31" t="n">
        <x:f>IF('Transactions'!B11="","",IF('Transactions'!F11="",0,'Transactions'!F11))</x:f>
        <x:v>46281</x:v>
      </x:c>
      <x:c r="G11" s="30" t="str">
        <x:f>IF('Transactions'!B11="","",'Transactions'!G11)</x:f>
        <x:v>FR0000120321</x:v>
      </x:c>
      <x:c r="H11" s="30" t="str">
        <x:f>IF('Transactions'!B11="","",'Transactions'!H11)</x:f>
        <x:v>ACHAT</x:v>
      </x:c>
      <x:c r="I11" s="32" t="n">
        <x:f>IF(B11="","",IF(COUNTIFS('Anomalies'!$C$19:$C$23,B11,'Anomalies'!$D$19:$D$23,"Quantite",'Anomalies'!$F$19:$F$23,"OUI")=1,SUMIFS('Anomalies'!$E$19:$E$23,'Anomalies'!$C$19:$C$23,B11,'Anomalies'!$D$19:$D$23,"Quantite",'Anomalies'!$F$19:$F$23,"OUI"),'Transactions'!I11))</x:f>
        <x:v>250</x:v>
      </x:c>
      <x:c r="J11" s="32" t="n">
        <x:f>IF('Transactions'!B11="","",'Transactions'!J11)</x:f>
        <x:v>385.47</x:v>
      </x:c>
      <x:c r="K11" s="32" t="n">
        <x:f>IF('Transactions'!B11="","",'Transactions'!K11)</x:f>
        <x:v>5</x:v>
      </x:c>
      <x:c r="L11" s="30" t="n">
        <x:f>IF(B11="",0,IF(COUNTIFS('Anomalies'!$C$19:$C$23,B11,'Anomalies'!$D$19:$D$23,"Exclure",'Anomalies'!$F$19:$F$23,"OUI")&gt;0,0,1))</x:f>
        <x:v>1</x:v>
      </x:c>
      <x:c r="M11" s="30" t="n">
        <x:f>IF(B11="","",IF(H11="ACHAT",I11,-I11)*L11)</x:f>
        <x:v>250</x:v>
      </x:c>
      <x:c r="N11" s="32" t="n">
        <x:f>IF(B11="","",ROUND(IF(H11="ACHAT",-I11*J11-K11,I11*J11-K11)*L11,2))</x:f>
        <x:v>-96372.5</x:v>
      </x:c>
      <x:c r="O11" s="30" t="n">
        <x:f>IF(B11="","",COUNTIFS($C$7:$C$76,C11,$L$7:$L$76,1))</x:f>
        <x:v>1</x:v>
      </x:c>
      <x:c r="P11" s="30" t="n">
        <x:f>IF(OR(B11="",L11=0),0,IF(AND(COUNTIFS($B$7:$B$76,B11,$L$7:$L$76,1)=1,C11&lt;&gt;"",'Transactions'!L11="EUR",ISNUMBER(D11),D11&gt;0,ISNUMBER(E11),E11&gt;=D11,OR(F11=0,AND(ISNUMBER(F11),F11&gt;=D11)),COUNTIFS('Marché'!$J$7:$J$11,G11)=1,OR(H11="ACHAT",H11="VENTE"),ISNUMBER(I11),I11&gt;0,ISNUMBER(J11),J11&gt;0,ISNUMBER(K11),K11&gt;=0),0,1))</x:f>
        <x:v>0</x:v>
      </x:c>
      <x:c r="Q11" s="30" t="n">
        <x:f>IF(OR(B11="",L11=0),0,IF(COUNTIFS('Dépositaire'!$C$7:$C$66,C11)=1,0,1))</x:f>
        <x:v>0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0" customHeight="1">
      <x:c r="A12" s="2"/>
      <x:c r="B12" s="30" t="str">
        <x:f>IF('Transactions'!B12="","",'Transactions'!B12)</x:f>
        <x:v>REC-006</x:v>
      </x:c>
      <x:c r="C12" s="30" t="str">
        <x:f>IF('Transactions'!B12="","",'Transactions'!C12)</x:f>
        <x:v>TR-006</x:v>
      </x:c>
      <x:c r="D12" s="31" t="n">
        <x:f>IF('Transactions'!B12="","",'Transactions'!D12)</x:f>
        <x:v>46280</x:v>
      </x:c>
      <x:c r="E12" s="31" t="n">
        <x:f>IF('Transactions'!B12="","",'Transactions'!E12)</x:f>
        <x:v>46282</x:v>
      </x:c>
      <x:c r="F12" s="31" t="n">
        <x:f>IF('Transactions'!B12="","",IF('Transactions'!F12="",0,'Transactions'!F12))</x:f>
        <x:v>46282</x:v>
      </x:c>
      <x:c r="G12" s="30" t="str">
        <x:f>IF('Transactions'!B12="","",'Transactions'!G12)</x:f>
        <x:v>FR0000120073</x:v>
      </x:c>
      <x:c r="H12" s="30" t="str">
        <x:f>IF('Transactions'!B12="","",'Transactions'!H12)</x:f>
        <x:v>ACHAT</x:v>
      </x:c>
      <x:c r="I12" s="32" t="n">
        <x:f>IF(B12="","",IF(COUNTIFS('Anomalies'!$C$19:$C$23,B12,'Anomalies'!$D$19:$D$23,"Quantite",'Anomalies'!$F$19:$F$23,"OUI")=1,SUMIFS('Anomalies'!$E$19:$E$23,'Anomalies'!$C$19:$C$23,B12,'Anomalies'!$D$19:$D$23,"Quantite",'Anomalies'!$F$19:$F$23,"OUI"),'Transactions'!I12))</x:f>
        <x:v>100</x:v>
      </x:c>
      <x:c r="J12" s="32" t="n">
        <x:f>IF('Transactions'!B12="","",'Transactions'!J12)</x:f>
        <x:v>165.21</x:v>
      </x:c>
      <x:c r="K12" s="32" t="n">
        <x:f>IF('Transactions'!B12="","",'Transactions'!K12)</x:f>
        <x:v>5</x:v>
      </x:c>
      <x:c r="L12" s="30" t="n">
        <x:f>IF(B12="",0,IF(COUNTIFS('Anomalies'!$C$19:$C$23,B12,'Anomalies'!$D$19:$D$23,"Exclure",'Anomalies'!$F$19:$F$23,"OUI")&gt;0,0,1))</x:f>
        <x:v>1</x:v>
      </x:c>
      <x:c r="M12" s="30" t="n">
        <x:f>IF(B12="","",IF(H12="ACHAT",I12,-I12)*L12)</x:f>
        <x:v>100</x:v>
      </x:c>
      <x:c r="N12" s="32" t="n">
        <x:f>IF(B12="","",ROUND(IF(H12="ACHAT",-I12*J12-K12,I12*J12-K12)*L12,2))</x:f>
        <x:v>-16526</x:v>
      </x:c>
      <x:c r="O12" s="30" t="n">
        <x:f>IF(B12="","",COUNTIFS($C$7:$C$76,C12,$L$7:$L$76,1))</x:f>
        <x:v>1</x:v>
      </x:c>
      <x:c r="P12" s="30" t="n">
        <x:f>IF(OR(B12="",L12=0),0,IF(AND(COUNTIFS($B$7:$B$76,B12,$L$7:$L$76,1)=1,C12&lt;&gt;"",'Transactions'!L12="EUR",ISNUMBER(D12),D12&gt;0,ISNUMBER(E12),E12&gt;=D12,OR(F12=0,AND(ISNUMBER(F12),F12&gt;=D12)),COUNTIFS('Marché'!$J$7:$J$11,G12)=1,OR(H12="ACHAT",H12="VENTE"),ISNUMBER(I12),I12&gt;0,ISNUMBER(J12),J12&gt;0,ISNUMBER(K12),K12&gt;=0),0,1))</x:f>
        <x:v>0</x:v>
      </x:c>
      <x:c r="Q12" s="30" t="n">
        <x:f>IF(OR(B12="",L12=0),0,IF(COUNTIFS('Dépositaire'!$C$7:$C$66,C12)=1,0,1))</x:f>
        <x:v>0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0" customHeight="1">
      <x:c r="A13" s="2"/>
      <x:c r="B13" s="30" t="str">
        <x:f>IF('Transactions'!B13="","",'Transactions'!B13)</x:f>
        <x:v>REC-007</x:v>
      </x:c>
      <x:c r="C13" s="30" t="str">
        <x:f>IF('Transactions'!B13="","",'Transactions'!C13)</x:f>
        <x:v>TR-007</x:v>
      </x:c>
      <x:c r="D13" s="31" t="n">
        <x:f>IF('Transactions'!B13="","",'Transactions'!D13)</x:f>
        <x:v>46280</x:v>
      </x:c>
      <x:c r="E13" s="31" t="n">
        <x:f>IF('Transactions'!B13="","",'Transactions'!E13)</x:f>
        <x:v>46282</x:v>
      </x:c>
      <x:c r="F13" s="31" t="n">
        <x:f>IF('Transactions'!B13="","",IF('Transactions'!F13="",0,'Transactions'!F13))</x:f>
        <x:v>46282</x:v>
      </x:c>
      <x:c r="G13" s="30" t="str">
        <x:f>IF('Transactions'!B13="","",'Transactions'!G13)</x:f>
        <x:v>FR0000120644</x:v>
      </x:c>
      <x:c r="H13" s="30" t="str">
        <x:f>IF('Transactions'!B13="","",'Transactions'!H13)</x:f>
        <x:v>VENTE</x:v>
      </x:c>
      <x:c r="I13" s="32" t="n">
        <x:f>IF(B13="","",IF(COUNTIFS('Anomalies'!$C$19:$C$23,B13,'Anomalies'!$D$19:$D$23,"Quantite",'Anomalies'!$F$19:$F$23,"OUI")=1,SUMIFS('Anomalies'!$E$19:$E$23,'Anomalies'!$C$19:$C$23,B13,'Anomalies'!$D$19:$D$23,"Quantite",'Anomalies'!$F$19:$F$23,"OUI"),'Transactions'!I13))</x:f>
        <x:v>200</x:v>
      </x:c>
      <x:c r="J13" s="32" t="n">
        <x:f>IF('Transactions'!B13="","",'Transactions'!J13)</x:f>
        <x:v>60.48</x:v>
      </x:c>
      <x:c r="K13" s="32" t="n">
        <x:f>IF('Transactions'!B13="","",'Transactions'!K13)</x:f>
        <x:v>5</x:v>
      </x:c>
      <x:c r="L13" s="30" t="n">
        <x:f>IF(B13="",0,IF(COUNTIFS('Anomalies'!$C$19:$C$23,B13,'Anomalies'!$D$19:$D$23,"Exclure",'Anomalies'!$F$19:$F$23,"OUI")&gt;0,0,1))</x:f>
        <x:v>1</x:v>
      </x:c>
      <x:c r="M13" s="30" t="n">
        <x:f>IF(B13="","",IF(H13="ACHAT",I13,-I13)*L13)</x:f>
        <x:v>-200</x:v>
      </x:c>
      <x:c r="N13" s="32" t="n">
        <x:f>IF(B13="","",ROUND(IF(H13="ACHAT",-I13*J13-K13,I13*J13-K13)*L13,2))</x:f>
        <x:v>12091</x:v>
      </x:c>
      <x:c r="O13" s="30" t="n">
        <x:f>IF(B13="","",COUNTIFS($C$7:$C$76,C13,$L$7:$L$76,1))</x:f>
        <x:v>1</x:v>
      </x:c>
      <x:c r="P13" s="30" t="n">
        <x:f>IF(OR(B13="",L13=0),0,IF(AND(COUNTIFS($B$7:$B$76,B13,$L$7:$L$76,1)=1,C13&lt;&gt;"",'Transactions'!L13="EUR",ISNUMBER(D13),D13&gt;0,ISNUMBER(E13),E13&gt;=D13,OR(F13=0,AND(ISNUMBER(F13),F13&gt;=D13)),COUNTIFS('Marché'!$J$7:$J$11,G13)=1,OR(H13="ACHAT",H13="VENTE"),ISNUMBER(I13),I13&gt;0,ISNUMBER(J13),J13&gt;0,ISNUMBER(K13),K13&gt;=0),0,1))</x:f>
        <x:v>0</x:v>
      </x:c>
      <x:c r="Q13" s="30" t="n">
        <x:f>IF(OR(B13="",L13=0),0,IF(COUNTIFS('Dépositaire'!$C$7:$C$66,C13)=1,0,1))</x:f>
        <x:v>0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0" customHeight="1">
      <x:c r="A14" s="2"/>
      <x:c r="B14" s="30" t="str">
        <x:f>IF('Transactions'!B14="","",'Transactions'!B14)</x:f>
        <x:v>REC-008</x:v>
      </x:c>
      <x:c r="C14" s="30" t="str">
        <x:f>IF('Transactions'!B14="","",'Transactions'!C14)</x:f>
        <x:v>TR-008</x:v>
      </x:c>
      <x:c r="D14" s="31" t="n">
        <x:f>IF('Transactions'!B14="","",'Transactions'!D14)</x:f>
        <x:v>46280</x:v>
      </x:c>
      <x:c r="E14" s="31" t="n">
        <x:f>IF('Transactions'!B14="","",'Transactions'!E14)</x:f>
        <x:v>46282</x:v>
      </x:c>
      <x:c r="F14" s="31" t="n">
        <x:f>IF('Transactions'!B14="","",IF('Transactions'!F14="",0,'Transactions'!F14))</x:f>
        <x:v>46282</x:v>
      </x:c>
      <x:c r="G14" s="30" t="str">
        <x:f>IF('Transactions'!B14="","",'Transactions'!G14)</x:f>
        <x:v>FR0000120321</x:v>
      </x:c>
      <x:c r="H14" s="30" t="str">
        <x:f>IF('Transactions'!B14="","",'Transactions'!H14)</x:f>
        <x:v>ACHAT</x:v>
      </x:c>
      <x:c r="I14" s="32" t="n">
        <x:f>IF(B14="","",IF(COUNTIFS('Anomalies'!$C$19:$C$23,B14,'Anomalies'!$D$19:$D$23,"Quantite",'Anomalies'!$F$19:$F$23,"OUI")=1,SUMIFS('Anomalies'!$E$19:$E$23,'Anomalies'!$C$19:$C$23,B14,'Anomalies'!$D$19:$D$23,"Quantite",'Anomalies'!$F$19:$F$23,"OUI"),'Transactions'!I14))</x:f>
        <x:v>50</x:v>
      </x:c>
      <x:c r="J14" s="32" t="n">
        <x:f>IF('Transactions'!B14="","",'Transactions'!J14)</x:f>
        <x:v>384.38</x:v>
      </x:c>
      <x:c r="K14" s="32" t="n">
        <x:f>IF('Transactions'!B14="","",'Transactions'!K14)</x:f>
        <x:v>5</x:v>
      </x:c>
      <x:c r="L14" s="30" t="n">
        <x:f>IF(B14="",0,IF(COUNTIFS('Anomalies'!$C$19:$C$23,B14,'Anomalies'!$D$19:$D$23,"Exclure",'Anomalies'!$F$19:$F$23,"OUI")&gt;0,0,1))</x:f>
        <x:v>1</x:v>
      </x:c>
      <x:c r="M14" s="30" t="n">
        <x:f>IF(B14="","",IF(H14="ACHAT",I14,-I14)*L14)</x:f>
        <x:v>50</x:v>
      </x:c>
      <x:c r="N14" s="32" t="n">
        <x:f>IF(B14="","",ROUND(IF(H14="ACHAT",-I14*J14-K14,I14*J14-K14)*L14,2))</x:f>
        <x:v>-19224</x:v>
      </x:c>
      <x:c r="O14" s="30" t="n">
        <x:f>IF(B14="","",COUNTIFS($C$7:$C$76,C14,$L$7:$L$76,1))</x:f>
        <x:v>1</x:v>
      </x:c>
      <x:c r="P14" s="30" t="n">
        <x:f>IF(OR(B14="",L14=0),0,IF(AND(COUNTIFS($B$7:$B$76,B14,$L$7:$L$76,1)=1,C14&lt;&gt;"",'Transactions'!L14="EUR",ISNUMBER(D14),D14&gt;0,ISNUMBER(E14),E14&gt;=D14,OR(F14=0,AND(ISNUMBER(F14),F14&gt;=D14)),COUNTIFS('Marché'!$J$7:$J$11,G14)=1,OR(H14="ACHAT",H14="VENTE"),ISNUMBER(I14),I14&gt;0,ISNUMBER(J14),J14&gt;0,ISNUMBER(K14),K14&gt;=0),0,1))</x:f>
        <x:v>0</x:v>
      </x:c>
      <x:c r="Q14" s="30" t="n">
        <x:f>IF(OR(B14="",L14=0),0,IF(COUNTIFS('Dépositaire'!$C$7:$C$66,C14)=1,0,1))</x:f>
        <x:v>0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0" customHeight="1">
      <x:c r="A15" s="2"/>
      <x:c r="B15" s="30" t="str">
        <x:f>IF('Transactions'!B15="","",'Transactions'!B15)</x:f>
        <x:v>REC-009</x:v>
      </x:c>
      <x:c r="C15" s="30" t="str">
        <x:f>IF('Transactions'!B15="","",'Transactions'!C15)</x:f>
        <x:v>TR-009</x:v>
      </x:c>
      <x:c r="D15" s="31" t="n">
        <x:f>IF('Transactions'!B15="","",'Transactions'!D15)</x:f>
        <x:v>46281</x:v>
      </x:c>
      <x:c r="E15" s="31" t="n">
        <x:f>IF('Transactions'!B15="","",'Transactions'!E15)</x:f>
        <x:v>46283</x:v>
      </x:c>
      <x:c r="F15" s="31" t="n">
        <x:f>IF('Transactions'!B15="","",IF('Transactions'!F15="",0,'Transactions'!F15))</x:f>
        <x:v>46283</x:v>
      </x:c>
      <x:c r="G15" s="30" t="str">
        <x:f>IF('Transactions'!B15="","",'Transactions'!G15)</x:f>
        <x:v>FR0000121972</x:v>
      </x:c>
      <x:c r="H15" s="30" t="str">
        <x:f>IF('Transactions'!B15="","",'Transactions'!H15)</x:f>
        <x:v>VENTE</x:v>
      </x:c>
      <x:c r="I15" s="32" t="n">
        <x:f>IF(B15="","",IF(COUNTIFS('Anomalies'!$C$19:$C$23,B15,'Anomalies'!$D$19:$D$23,"Quantite",'Anomalies'!$F$19:$F$23,"OUI")=1,SUMIFS('Anomalies'!$E$19:$E$23,'Anomalies'!$C$19:$C$23,B15,'Anomalies'!$D$19:$D$23,"Quantite",'Anomalies'!$F$19:$F$23,"OUI"),'Transactions'!I15))</x:f>
        <x:v>50</x:v>
      </x:c>
      <x:c r="J15" s="32" t="n">
        <x:f>IF('Transactions'!B15="","",'Transactions'!J15)</x:f>
        <x:v>209.3</x:v>
      </x:c>
      <x:c r="K15" s="32" t="n">
        <x:f>IF('Transactions'!B15="","",'Transactions'!K15)</x:f>
        <x:v>5</x:v>
      </x:c>
      <x:c r="L15" s="30" t="n">
        <x:f>IF(B15="",0,IF(COUNTIFS('Anomalies'!$C$19:$C$23,B15,'Anomalies'!$D$19:$D$23,"Exclure",'Anomalies'!$F$19:$F$23,"OUI")&gt;0,0,1))</x:f>
        <x:v>1</x:v>
      </x:c>
      <x:c r="M15" s="30" t="n">
        <x:f>IF(B15="","",IF(H15="ACHAT",I15,-I15)*L15)</x:f>
        <x:v>-50</x:v>
      </x:c>
      <x:c r="N15" s="32" t="n">
        <x:f>IF(B15="","",ROUND(IF(H15="ACHAT",-I15*J15-K15,I15*J15-K15)*L15,2))</x:f>
        <x:v>10460</x:v>
      </x:c>
      <x:c r="O15" s="30" t="n">
        <x:f>IF(B15="","",COUNTIFS($C$7:$C$76,C15,$L$7:$L$76,1))</x:f>
        <x:v>1</x:v>
      </x:c>
      <x:c r="P15" s="30" t="n">
        <x:f>IF(OR(B15="",L15=0),0,IF(AND(COUNTIFS($B$7:$B$76,B15,$L$7:$L$76,1)=1,C15&lt;&gt;"",'Transactions'!L15="EUR",ISNUMBER(D15),D15&gt;0,ISNUMBER(E15),E15&gt;=D15,OR(F15=0,AND(ISNUMBER(F15),F15&gt;=D15)),COUNTIFS('Marché'!$J$7:$J$11,G15)=1,OR(H15="ACHAT",H15="VENTE"),ISNUMBER(I15),I15&gt;0,ISNUMBER(J15),J15&gt;0,ISNUMBER(K15),K15&gt;=0),0,1))</x:f>
        <x:v>0</x:v>
      </x:c>
      <x:c r="Q15" s="30" t="n">
        <x:f>IF(OR(B15="",L15=0),0,IF(COUNTIFS('Dépositaire'!$C$7:$C$66,C15)=1,0,1))</x:f>
        <x:v>0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0" customHeight="1">
      <x:c r="A16" s="2"/>
      <x:c r="B16" s="30" t="str">
        <x:f>IF('Transactions'!B16="","",'Transactions'!B16)</x:f>
        <x:v>REC-010</x:v>
      </x:c>
      <x:c r="C16" s="30" t="str">
        <x:f>IF('Transactions'!B16="","",'Transactions'!C16)</x:f>
        <x:v>TR-010</x:v>
      </x:c>
      <x:c r="D16" s="31" t="n">
        <x:f>IF('Transactions'!B16="","",'Transactions'!D16)</x:f>
        <x:v>46281</x:v>
      </x:c>
      <x:c r="E16" s="31" t="n">
        <x:f>IF('Transactions'!B16="","",'Transactions'!E16)</x:f>
        <x:v>46283</x:v>
      </x:c>
      <x:c r="F16" s="31" t="n">
        <x:f>IF('Transactions'!B16="","",IF('Transactions'!F16="",0,'Transactions'!F16))</x:f>
        <x:v>46283</x:v>
      </x:c>
      <x:c r="G16" s="30" t="str">
        <x:f>IF('Transactions'!B16="","",'Transactions'!G16)</x:f>
        <x:v>FR0000125486</x:v>
      </x:c>
      <x:c r="H16" s="30" t="str">
        <x:f>IF('Transactions'!B16="","",'Transactions'!H16)</x:f>
        <x:v>ACHAT</x:v>
      </x:c>
      <x:c r="I16" s="32" t="n">
        <x:f>IF(B16="","",IF(COUNTIFS('Anomalies'!$C$19:$C$23,B16,'Anomalies'!$D$19:$D$23,"Quantite",'Anomalies'!$F$19:$F$23,"OUI")=1,SUMIFS('Anomalies'!$E$19:$E$23,'Anomalies'!$C$19:$C$23,B16,'Anomalies'!$D$19:$D$23,"Quantite",'Anomalies'!$F$19:$F$23,"OUI"),'Transactions'!I16))</x:f>
        <x:v>100</x:v>
      </x:c>
      <x:c r="J16" s="32" t="n">
        <x:f>IF('Transactions'!B16="","",'Transactions'!J16)</x:f>
        <x:v>115.82</x:v>
      </x:c>
      <x:c r="K16" s="32" t="n">
        <x:f>IF('Transactions'!B16="","",'Transactions'!K16)</x:f>
        <x:v>5</x:v>
      </x:c>
      <x:c r="L16" s="30" t="n">
        <x:f>IF(B16="",0,IF(COUNTIFS('Anomalies'!$C$19:$C$23,B16,'Anomalies'!$D$19:$D$23,"Exclure",'Anomalies'!$F$19:$F$23,"OUI")&gt;0,0,1))</x:f>
        <x:v>1</x:v>
      </x:c>
      <x:c r="M16" s="30" t="n">
        <x:f>IF(B16="","",IF(H16="ACHAT",I16,-I16)*L16)</x:f>
        <x:v>100</x:v>
      </x:c>
      <x:c r="N16" s="32" t="n">
        <x:f>IF(B16="","",ROUND(IF(H16="ACHAT",-I16*J16-K16,I16*J16-K16)*L16,2))</x:f>
        <x:v>-11587</x:v>
      </x:c>
      <x:c r="O16" s="30" t="n">
        <x:f>IF(B16="","",COUNTIFS($C$7:$C$76,C16,$L$7:$L$76,1))</x:f>
        <x:v>1</x:v>
      </x:c>
      <x:c r="P16" s="30" t="n">
        <x:f>IF(OR(B16="",L16=0),0,IF(AND(COUNTIFS($B$7:$B$76,B16,$L$7:$L$76,1)=1,C16&lt;&gt;"",'Transactions'!L16="EUR",ISNUMBER(D16),D16&gt;0,ISNUMBER(E16),E16&gt;=D16,OR(F16=0,AND(ISNUMBER(F16),F16&gt;=D16)),COUNTIFS('Marché'!$J$7:$J$11,G16)=1,OR(H16="ACHAT",H16="VENTE"),ISNUMBER(I16),I16&gt;0,ISNUMBER(J16),J16&gt;0,ISNUMBER(K16),K16&gt;=0),0,1))</x:f>
        <x:v>0</x:v>
      </x:c>
      <x:c r="Q16" s="30" t="n">
        <x:f>IF(OR(B16="",L16=0),0,IF(COUNTIFS('Dépositaire'!$C$7:$C$66,C16)=1,0,1))</x:f>
        <x:v>0</x:v>
      </x:c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0" customHeight="1">
      <x:c r="A17" s="2"/>
      <x:c r="B17" s="30" t="str">
        <x:f>IF('Transactions'!B17="","",'Transactions'!B17)</x:f>
        <x:v>REC-011</x:v>
      </x:c>
      <x:c r="C17" s="30" t="str">
        <x:f>IF('Transactions'!B17="","",'Transactions'!C17)</x:f>
        <x:v>TR-011</x:v>
      </x:c>
      <x:c r="D17" s="31" t="n">
        <x:f>IF('Transactions'!B17="","",'Transactions'!D17)</x:f>
        <x:v>46282</x:v>
      </x:c>
      <x:c r="E17" s="31" t="n">
        <x:f>IF('Transactions'!B17="","",'Transactions'!E17)</x:f>
        <x:v>46286</x:v>
      </x:c>
      <x:c r="F17" s="31" t="n">
        <x:f>IF('Transactions'!B17="","",IF('Transactions'!F17="",0,'Transactions'!F17))</x:f>
        <x:v>46286</x:v>
      </x:c>
      <x:c r="G17" s="30" t="str">
        <x:f>IF('Transactions'!B17="","",'Transactions'!G17)</x:f>
        <x:v>FR0000120073</x:v>
      </x:c>
      <x:c r="H17" s="30" t="str">
        <x:f>IF('Transactions'!B17="","",'Transactions'!H17)</x:f>
        <x:v>VENTE</x:v>
      </x:c>
      <x:c r="I17" s="32" t="n">
        <x:f>IF(B17="","",IF(COUNTIFS('Anomalies'!$C$19:$C$23,B17,'Anomalies'!$D$19:$D$23,"Quantite",'Anomalies'!$F$19:$F$23,"OUI")=1,SUMIFS('Anomalies'!$E$19:$E$23,'Anomalies'!$C$19:$C$23,B17,'Anomalies'!$D$19:$D$23,"Quantite",'Anomalies'!$F$19:$F$23,"OUI"),'Transactions'!I17))</x:f>
        <x:v>80</x:v>
      </x:c>
      <x:c r="J17" s="32" t="n">
        <x:f>IF('Transactions'!B17="","",'Transactions'!J17)</x:f>
        <x:v>165.42</x:v>
      </x:c>
      <x:c r="K17" s="32" t="n">
        <x:f>IF('Transactions'!B17="","",'Transactions'!K17)</x:f>
        <x:v>5</x:v>
      </x:c>
      <x:c r="L17" s="30" t="n">
        <x:f>IF(B17="",0,IF(COUNTIFS('Anomalies'!$C$19:$C$23,B17,'Anomalies'!$D$19:$D$23,"Exclure",'Anomalies'!$F$19:$F$23,"OUI")&gt;0,0,1))</x:f>
        <x:v>1</x:v>
      </x:c>
      <x:c r="M17" s="30" t="n">
        <x:f>IF(B17="","",IF(H17="ACHAT",I17,-I17)*L17)</x:f>
        <x:v>-80</x:v>
      </x:c>
      <x:c r="N17" s="32" t="n">
        <x:f>IF(B17="","",ROUND(IF(H17="ACHAT",-I17*J17-K17,I17*J17-K17)*L17,2))</x:f>
        <x:v>13228.6</x:v>
      </x:c>
      <x:c r="O17" s="30" t="n">
        <x:f>IF(B17="","",COUNTIFS($C$7:$C$76,C17,$L$7:$L$76,1))</x:f>
        <x:v>1</x:v>
      </x:c>
      <x:c r="P17" s="30" t="n">
        <x:f>IF(OR(B17="",L17=0),0,IF(AND(COUNTIFS($B$7:$B$76,B17,$L$7:$L$76,1)=1,C17&lt;&gt;"",'Transactions'!L17="EUR",ISNUMBER(D17),D17&gt;0,ISNUMBER(E17),E17&gt;=D17,OR(F17=0,AND(ISNUMBER(F17),F17&gt;=D17)),COUNTIFS('Marché'!$J$7:$J$11,G17)=1,OR(H17="ACHAT",H17="VENTE"),ISNUMBER(I17),I17&gt;0,ISNUMBER(J17),J17&gt;0,ISNUMBER(K17),K17&gt;=0),0,1))</x:f>
        <x:v>0</x:v>
      </x:c>
      <x:c r="Q17" s="30" t="n">
        <x:f>IF(OR(B17="",L17=0),0,IF(COUNTIFS('Dépositaire'!$C$7:$C$66,C17)=1,0,1))</x:f>
        <x:v>0</x:v>
      </x:c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0" customHeight="1">
      <x:c r="A18" s="2"/>
      <x:c r="B18" s="30" t="str">
        <x:f>IF('Transactions'!B18="","",'Transactions'!B18)</x:f>
        <x:v>REC-012</x:v>
      </x:c>
      <x:c r="C18" s="30" t="str">
        <x:f>IF('Transactions'!B18="","",'Transactions'!C18)</x:f>
        <x:v>TR-012</x:v>
      </x:c>
      <x:c r="D18" s="31" t="n">
        <x:f>IF('Transactions'!B18="","",'Transactions'!D18)</x:f>
        <x:v>46282</x:v>
      </x:c>
      <x:c r="E18" s="31" t="n">
        <x:f>IF('Transactions'!B18="","",'Transactions'!E18)</x:f>
        <x:v>46286</x:v>
      </x:c>
      <x:c r="F18" s="31" t="n">
        <x:f>IF('Transactions'!B18="","",IF('Transactions'!F18="",0,'Transactions'!F18))</x:f>
        <x:v>46286</x:v>
      </x:c>
      <x:c r="G18" s="30" t="str">
        <x:f>IF('Transactions'!B18="","",'Transactions'!G18)</x:f>
        <x:v>FR0000120644</x:v>
      </x:c>
      <x:c r="H18" s="30" t="str">
        <x:f>IF('Transactions'!B18="","",'Transactions'!H18)</x:f>
        <x:v>ACHAT</x:v>
      </x:c>
      <x:c r="I18" s="32" t="n">
        <x:f>IF(B18="","",IF(COUNTIFS('Anomalies'!$C$19:$C$23,B18,'Anomalies'!$D$19:$D$23,"Quantite",'Anomalies'!$F$19:$F$23,"OUI")=1,SUMIFS('Anomalies'!$E$19:$E$23,'Anomalies'!$C$19:$C$23,B18,'Anomalies'!$D$19:$D$23,"Quantite",'Anomalies'!$F$19:$F$23,"OUI"),'Transactions'!I18))</x:f>
        <x:v>150</x:v>
      </x:c>
      <x:c r="J18" s="32" t="n">
        <x:f>IF('Transactions'!B18="","",'Transactions'!J18)</x:f>
        <x:v>60.37</x:v>
      </x:c>
      <x:c r="K18" s="32" t="n">
        <x:f>IF('Transactions'!B18="","",'Transactions'!K18)</x:f>
        <x:v>5</x:v>
      </x:c>
      <x:c r="L18" s="30" t="n">
        <x:f>IF(B18="",0,IF(COUNTIFS('Anomalies'!$C$19:$C$23,B18,'Anomalies'!$D$19:$D$23,"Exclure",'Anomalies'!$F$19:$F$23,"OUI")&gt;0,0,1))</x:f>
        <x:v>1</x:v>
      </x:c>
      <x:c r="M18" s="30" t="n">
        <x:f>IF(B18="","",IF(H18="ACHAT",I18,-I18)*L18)</x:f>
        <x:v>150</x:v>
      </x:c>
      <x:c r="N18" s="32" t="n">
        <x:f>IF(B18="","",ROUND(IF(H18="ACHAT",-I18*J18-K18,I18*J18-K18)*L18,2))</x:f>
        <x:v>-9060.5</x:v>
      </x:c>
      <x:c r="O18" s="30" t="n">
        <x:f>IF(B18="","",COUNTIFS($C$7:$C$76,C18,$L$7:$L$76,1))</x:f>
        <x:v>1</x:v>
      </x:c>
      <x:c r="P18" s="30" t="n">
        <x:f>IF(OR(B18="",L18=0),0,IF(AND(COUNTIFS($B$7:$B$76,B18,$L$7:$L$76,1)=1,C18&lt;&gt;"",'Transactions'!L18="EUR",ISNUMBER(D18),D18&gt;0,ISNUMBER(E18),E18&gt;=D18,OR(F18=0,AND(ISNUMBER(F18),F18&gt;=D18)),COUNTIFS('Marché'!$J$7:$J$11,G18)=1,OR(H18="ACHAT",H18="VENTE"),ISNUMBER(I18),I18&gt;0,ISNUMBER(J18),J18&gt;0,ISNUMBER(K18),K18&gt;=0),0,1))</x:f>
        <x:v>0</x:v>
      </x:c>
      <x:c r="Q18" s="30" t="n">
        <x:f>IF(OR(B18="",L18=0),0,IF(COUNTIFS('Dépositaire'!$C$7:$C$66,C18)=1,0,1))</x:f>
        <x:v>0</x:v>
      </x:c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0" customHeight="1">
      <x:c r="A19" s="2"/>
      <x:c r="B19" s="30" t="str">
        <x:f>IF('Transactions'!B19="","",'Transactions'!B19)</x:f>
        <x:v>REC-013</x:v>
      </x:c>
      <x:c r="C19" s="30" t="str">
        <x:f>IF('Transactions'!B19="","",'Transactions'!C19)</x:f>
        <x:v>TR-013</x:v>
      </x:c>
      <x:c r="D19" s="31" t="n">
        <x:f>IF('Transactions'!B19="","",'Transactions'!D19)</x:f>
        <x:v>46283</x:v>
      </x:c>
      <x:c r="E19" s="31" t="n">
        <x:f>IF('Transactions'!B19="","",'Transactions'!E19)</x:f>
        <x:v>46287</x:v>
      </x:c>
      <x:c r="F19" s="31" t="n">
        <x:f>IF('Transactions'!B19="","",IF('Transactions'!F19="",0,'Transactions'!F19))</x:f>
        <x:v>46287</x:v>
      </x:c>
      <x:c r="G19" s="30" t="str">
        <x:f>IF('Transactions'!B19="","",'Transactions'!G19)</x:f>
        <x:v>FR0000120321</x:v>
      </x:c>
      <x:c r="H19" s="30" t="str">
        <x:f>IF('Transactions'!B19="","",'Transactions'!H19)</x:f>
        <x:v>VENTE</x:v>
      </x:c>
      <x:c r="I19" s="32" t="n">
        <x:f>IF(B19="","",IF(COUNTIFS('Anomalies'!$C$19:$C$23,B19,'Anomalies'!$D$19:$D$23,"Quantite",'Anomalies'!$F$19:$F$23,"OUI")=1,SUMIFS('Anomalies'!$E$19:$E$23,'Anomalies'!$C$19:$C$23,B19,'Anomalies'!$D$19:$D$23,"Quantite",'Anomalies'!$F$19:$F$23,"OUI"),'Transactions'!I19))</x:f>
        <x:v>30</x:v>
      </x:c>
      <x:c r="J19" s="32" t="n">
        <x:f>IF('Transactions'!B19="","",'Transactions'!J19)</x:f>
        <x:v>383</x:v>
      </x:c>
      <x:c r="K19" s="32" t="n">
        <x:f>IF('Transactions'!B19="","",'Transactions'!K19)</x:f>
        <x:v>5</x:v>
      </x:c>
      <x:c r="L19" s="30" t="n">
        <x:f>IF(B19="",0,IF(COUNTIFS('Anomalies'!$C$19:$C$23,B19,'Anomalies'!$D$19:$D$23,"Exclure",'Anomalies'!$F$19:$F$23,"OUI")&gt;0,0,1))</x:f>
        <x:v>1</x:v>
      </x:c>
      <x:c r="M19" s="30" t="n">
        <x:f>IF(B19="","",IF(H19="ACHAT",I19,-I19)*L19)</x:f>
        <x:v>-30</x:v>
      </x:c>
      <x:c r="N19" s="32" t="n">
        <x:f>IF(B19="","",ROUND(IF(H19="ACHAT",-I19*J19-K19,I19*J19-K19)*L19,2))</x:f>
        <x:v>11485</x:v>
      </x:c>
      <x:c r="O19" s="30" t="n">
        <x:f>IF(B19="","",COUNTIFS($C$7:$C$76,C19,$L$7:$L$76,1))</x:f>
        <x:v>1</x:v>
      </x:c>
      <x:c r="P19" s="30" t="n">
        <x:f>IF(OR(B19="",L19=0),0,IF(AND(COUNTIFS($B$7:$B$76,B19,$L$7:$L$76,1)=1,C19&lt;&gt;"",'Transactions'!L19="EUR",ISNUMBER(D19),D19&gt;0,ISNUMBER(E19),E19&gt;=D19,OR(F19=0,AND(ISNUMBER(F19),F19&gt;=D19)),COUNTIFS('Marché'!$J$7:$J$11,G19)=1,OR(H19="ACHAT",H19="VENTE"),ISNUMBER(I19),I19&gt;0,ISNUMBER(J19),J19&gt;0,ISNUMBER(K19),K19&gt;=0),0,1))</x:f>
        <x:v>0</x:v>
      </x:c>
      <x:c r="Q19" s="30" t="n">
        <x:f>IF(OR(B19="",L19=0),0,IF(COUNTIFS('Dépositaire'!$C$7:$C$66,C19)=1,0,1))</x:f>
        <x:v>0</x:v>
      </x:c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0" customHeight="1">
      <x:c r="A20" s="2"/>
      <x:c r="B20" s="30" t="str">
        <x:f>IF('Transactions'!B20="","",'Transactions'!B20)</x:f>
        <x:v>REC-014</x:v>
      </x:c>
      <x:c r="C20" s="30" t="str">
        <x:f>IF('Transactions'!B20="","",'Transactions'!C20)</x:f>
        <x:v>TR-014</x:v>
      </x:c>
      <x:c r="D20" s="31" t="n">
        <x:f>IF('Transactions'!B20="","",'Transactions'!D20)</x:f>
        <x:v>46283</x:v>
      </x:c>
      <x:c r="E20" s="31" t="n">
        <x:f>IF('Transactions'!B20="","",'Transactions'!E20)</x:f>
        <x:v>46287</x:v>
      </x:c>
      <x:c r="F20" s="31" t="n">
        <x:f>IF('Transactions'!B20="","",IF('Transactions'!F20="",0,'Transactions'!F20))</x:f>
        <x:v>46287</x:v>
      </x:c>
      <x:c r="G20" s="30" t="str">
        <x:f>IF('Transactions'!B20="","",'Transactions'!G20)</x:f>
        <x:v>FR0000121972</x:v>
      </x:c>
      <x:c r="H20" s="30" t="str">
        <x:f>IF('Transactions'!B20="","",'Transactions'!H20)</x:f>
        <x:v>ACHAT</x:v>
      </x:c>
      <x:c r="I20" s="32" t="n">
        <x:f>IF(B20="","",IF(COUNTIFS('Anomalies'!$C$19:$C$23,B20,'Anomalies'!$D$19:$D$23,"Quantite",'Anomalies'!$F$19:$F$23,"OUI")=1,SUMIFS('Anomalies'!$E$19:$E$23,'Anomalies'!$C$19:$C$23,B20,'Anomalies'!$D$19:$D$23,"Quantite",'Anomalies'!$F$19:$F$23,"OUI"),'Transactions'!I20))</x:f>
        <x:v>60</x:v>
      </x:c>
      <x:c r="J20" s="32" t="n">
        <x:f>IF('Transactions'!B20="","",'Transactions'!J20)</x:f>
        <x:v>208.27</x:v>
      </x:c>
      <x:c r="K20" s="32" t="n">
        <x:f>IF('Transactions'!B20="","",'Transactions'!K20)</x:f>
        <x:v>5</x:v>
      </x:c>
      <x:c r="L20" s="30" t="n">
        <x:f>IF(B20="",0,IF(COUNTIFS('Anomalies'!$C$19:$C$23,B20,'Anomalies'!$D$19:$D$23,"Exclure",'Anomalies'!$F$19:$F$23,"OUI")&gt;0,0,1))</x:f>
        <x:v>1</x:v>
      </x:c>
      <x:c r="M20" s="30" t="n">
        <x:f>IF(B20="","",IF(H20="ACHAT",I20,-I20)*L20)</x:f>
        <x:v>60</x:v>
      </x:c>
      <x:c r="N20" s="32" t="n">
        <x:f>IF(B20="","",ROUND(IF(H20="ACHAT",-I20*J20-K20,I20*J20-K20)*L20,2))</x:f>
        <x:v>-12501.2</x:v>
      </x:c>
      <x:c r="O20" s="30" t="n">
        <x:f>IF(B20="","",COUNTIFS($C$7:$C$76,C20,$L$7:$L$76,1))</x:f>
        <x:v>1</x:v>
      </x:c>
      <x:c r="P20" s="30" t="n">
        <x:f>IF(OR(B20="",L20=0),0,IF(AND(COUNTIFS($B$7:$B$76,B20,$L$7:$L$76,1)=1,C20&lt;&gt;"",'Transactions'!L20="EUR",ISNUMBER(D20),D20&gt;0,ISNUMBER(E20),E20&gt;=D20,OR(F20=0,AND(ISNUMBER(F20),F20&gt;=D20)),COUNTIFS('Marché'!$J$7:$J$11,G20)=1,OR(H20="ACHAT",H20="VENTE"),ISNUMBER(I20),I20&gt;0,ISNUMBER(J20),J20&gt;0,ISNUMBER(K20),K20&gt;=0),0,1))</x:f>
        <x:v>0</x:v>
      </x:c>
      <x:c r="Q20" s="30" t="n">
        <x:f>IF(OR(B20="",L20=0),0,IF(COUNTIFS('Dépositaire'!$C$7:$C$66,C20)=1,0,1))</x:f>
        <x:v>0</x:v>
      </x:c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0" customHeight="1">
      <x:c r="A21" s="2"/>
      <x:c r="B21" s="30" t="str">
        <x:f>IF('Transactions'!B21="","",'Transactions'!B21)</x:f>
        <x:v>REC-015</x:v>
      </x:c>
      <x:c r="C21" s="30" t="str">
        <x:f>IF('Transactions'!B21="","",'Transactions'!C21)</x:f>
        <x:v>TR-015</x:v>
      </x:c>
      <x:c r="D21" s="31" t="n">
        <x:f>IF('Transactions'!B21="","",'Transactions'!D21)</x:f>
        <x:v>46283</x:v>
      </x:c>
      <x:c r="E21" s="31" t="n">
        <x:f>IF('Transactions'!B21="","",'Transactions'!E21)</x:f>
        <x:v>46287</x:v>
      </x:c>
      <x:c r="F21" s="31" t="n">
        <x:f>IF('Transactions'!B21="","",IF('Transactions'!F21="",0,'Transactions'!F21))</x:f>
        <x:v>46287</x:v>
      </x:c>
      <x:c r="G21" s="30" t="str">
        <x:f>IF('Transactions'!B21="","",'Transactions'!G21)</x:f>
        <x:v>FR0000125486</x:v>
      </x:c>
      <x:c r="H21" s="30" t="str">
        <x:f>IF('Transactions'!B21="","",'Transactions'!H21)</x:f>
        <x:v>VENTE</x:v>
      </x:c>
      <x:c r="I21" s="32" t="n">
        <x:f>IF(B21="","",IF(COUNTIFS('Anomalies'!$C$19:$C$23,B21,'Anomalies'!$D$19:$D$23,"Quantite",'Anomalies'!$F$19:$F$23,"OUI")=1,SUMIFS('Anomalies'!$E$19:$E$23,'Anomalies'!$C$19:$C$23,B21,'Anomalies'!$D$19:$D$23,"Quantite",'Anomalies'!$F$19:$F$23,"OUI"),'Transactions'!I21))</x:f>
        <x:v>100</x:v>
      </x:c>
      <x:c r="J21" s="32" t="n">
        <x:f>IF('Transactions'!B21="","",'Transactions'!J21)</x:f>
        <x:v>115.91</x:v>
      </x:c>
      <x:c r="K21" s="32" t="n">
        <x:f>IF('Transactions'!B21="","",'Transactions'!K21)</x:f>
        <x:v>5</x:v>
      </x:c>
      <x:c r="L21" s="30" t="n">
        <x:f>IF(B21="",0,IF(COUNTIFS('Anomalies'!$C$19:$C$23,B21,'Anomalies'!$D$19:$D$23,"Exclure",'Anomalies'!$F$19:$F$23,"OUI")&gt;0,0,1))</x:f>
        <x:v>1</x:v>
      </x:c>
      <x:c r="M21" s="30" t="n">
        <x:f>IF(B21="","",IF(H21="ACHAT",I21,-I21)*L21)</x:f>
        <x:v>-100</x:v>
      </x:c>
      <x:c r="N21" s="32" t="n">
        <x:f>IF(B21="","",ROUND(IF(H21="ACHAT",-I21*J21-K21,I21*J21-K21)*L21,2))</x:f>
        <x:v>11586</x:v>
      </x:c>
      <x:c r="O21" s="30" t="n">
        <x:f>IF(B21="","",COUNTIFS($C$7:$C$76,C21,$L$7:$L$76,1))</x:f>
        <x:v>1</x:v>
      </x:c>
      <x:c r="P21" s="30" t="n">
        <x:f>IF(OR(B21="",L21=0),0,IF(AND(COUNTIFS($B$7:$B$76,B21,$L$7:$L$76,1)=1,C21&lt;&gt;"",'Transactions'!L21="EUR",ISNUMBER(D21),D21&gt;0,ISNUMBER(E21),E21&gt;=D21,OR(F21=0,AND(ISNUMBER(F21),F21&gt;=D21)),COUNTIFS('Marché'!$J$7:$J$11,G21)=1,OR(H21="ACHAT",H21="VENTE"),ISNUMBER(I21),I21&gt;0,ISNUMBER(J21),J21&gt;0,ISNUMBER(K21),K21&gt;=0),0,1))</x:f>
        <x:v>0</x:v>
      </x:c>
      <x:c r="Q21" s="30" t="n">
        <x:f>IF(OR(B21="",L21=0),0,IF(COUNTIFS('Dépositaire'!$C$7:$C$66,C21)=1,0,1))</x:f>
        <x:v>0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0" customHeight="1">
      <x:c r="A22" s="2"/>
      <x:c r="B22" s="30" t="str">
        <x:f>IF('Transactions'!B22="","",'Transactions'!B22)</x:f>
        <x:v>REC-017</x:v>
      </x:c>
      <x:c r="C22" s="30" t="str">
        <x:f>IF('Transactions'!B22="","",'Transactions'!C22)</x:f>
        <x:v>TR-017</x:v>
      </x:c>
      <x:c r="D22" s="31" t="n">
        <x:f>IF('Transactions'!B22="","",'Transactions'!D22)</x:f>
        <x:v>46286</x:v>
      </x:c>
      <x:c r="E22" s="31" t="n">
        <x:f>IF('Transactions'!B22="","",'Transactions'!E22)</x:f>
        <x:v>46288</x:v>
      </x:c>
      <x:c r="F22" s="31" t="n">
        <x:f>IF('Transactions'!B22="","",IF('Transactions'!F22="",0,'Transactions'!F22))</x:f>
        <x:v>46290</x:v>
      </x:c>
      <x:c r="G22" s="30" t="str">
        <x:f>IF('Transactions'!B22="","",'Transactions'!G22)</x:f>
        <x:v>FR0000121972</x:v>
      </x:c>
      <x:c r="H22" s="30" t="str">
        <x:f>IF('Transactions'!B22="","",'Transactions'!H22)</x:f>
        <x:v>ACHAT</x:v>
      </x:c>
      <x:c r="I22" s="32" t="n">
        <x:f>IF(B22="","",IF(COUNTIFS('Anomalies'!$C$19:$C$23,B22,'Anomalies'!$D$19:$D$23,"Quantite",'Anomalies'!$F$19:$F$23,"OUI")=1,SUMIFS('Anomalies'!$E$19:$E$23,'Anomalies'!$C$19:$C$23,B22,'Anomalies'!$D$19:$D$23,"Quantite",'Anomalies'!$F$19:$F$23,"OUI"),'Transactions'!I22))</x:f>
        <x:v>40</x:v>
      </x:c>
      <x:c r="J22" s="32" t="n">
        <x:f>IF('Transactions'!B22="","",'Transactions'!J22)</x:f>
        <x:v>208.34</x:v>
      </x:c>
      <x:c r="K22" s="32" t="n">
        <x:f>IF('Transactions'!B22="","",'Transactions'!K22)</x:f>
        <x:v>5</x:v>
      </x:c>
      <x:c r="L22" s="30" t="n">
        <x:f>IF(B22="",0,IF(COUNTIFS('Anomalies'!$C$19:$C$23,B22,'Anomalies'!$D$19:$D$23,"Exclure",'Anomalies'!$F$19:$F$23,"OUI")&gt;0,0,1))</x:f>
        <x:v>1</x:v>
      </x:c>
      <x:c r="M22" s="30" t="n">
        <x:f>IF(B22="","",IF(H22="ACHAT",I22,-I22)*L22)</x:f>
        <x:v>40</x:v>
      </x:c>
      <x:c r="N22" s="32" t="n">
        <x:f>IF(B22="","",ROUND(IF(H22="ACHAT",-I22*J22-K22,I22*J22-K22)*L22,2))</x:f>
        <x:v>-8338.6</x:v>
      </x:c>
      <x:c r="O22" s="30" t="n">
        <x:f>IF(B22="","",COUNTIFS($C$7:$C$76,C22,$L$7:$L$76,1))</x:f>
        <x:v>1</x:v>
      </x:c>
      <x:c r="P22" s="30" t="n">
        <x:f>IF(OR(B22="",L22=0),0,IF(AND(COUNTIFS($B$7:$B$76,B22,$L$7:$L$76,1)=1,C22&lt;&gt;"",'Transactions'!L22="EUR",ISNUMBER(D22),D22&gt;0,ISNUMBER(E22),E22&gt;=D22,OR(F22=0,AND(ISNUMBER(F22),F22&gt;=D22)),COUNTIFS('Marché'!$J$7:$J$11,G22)=1,OR(H22="ACHAT",H22="VENTE"),ISNUMBER(I22),I22&gt;0,ISNUMBER(J22),J22&gt;0,ISNUMBER(K22),K22&gt;=0),0,1))</x:f>
        <x:v>0</x:v>
      </x:c>
      <x:c r="Q22" s="30" t="n">
        <x:f>IF(OR(B22="",L22=0),0,IF(COUNTIFS('Dépositaire'!$C$7:$C$66,C22)=1,0,1))</x:f>
        <x:v>0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0" customHeight="1">
      <x:c r="A23" s="2"/>
      <x:c r="B23" s="30" t="str">
        <x:f>IF('Transactions'!B23="","",'Transactions'!B23)</x:f>
        <x:v>REC-018</x:v>
      </x:c>
      <x:c r="C23" s="30" t="str">
        <x:f>IF('Transactions'!B23="","",'Transactions'!C23)</x:f>
        <x:v>TR-018</x:v>
      </x:c>
      <x:c r="D23" s="31" t="n">
        <x:f>IF('Transactions'!B23="","",'Transactions'!D23)</x:f>
        <x:v>46286</x:v>
      </x:c>
      <x:c r="E23" s="31" t="n">
        <x:f>IF('Transactions'!B23="","",'Transactions'!E23)</x:f>
        <x:v>46288</x:v>
      </x:c>
      <x:c r="F23" s="31" t="n">
        <x:f>IF('Transactions'!B23="","",IF('Transactions'!F23="",0,'Transactions'!F23))</x:f>
        <x:v>46288</x:v>
      </x:c>
      <x:c r="G23" s="30" t="str">
        <x:f>IF('Transactions'!B23="","",'Transactions'!G23)</x:f>
        <x:v>FR0000120644</x:v>
      </x:c>
      <x:c r="H23" s="30" t="str">
        <x:f>IF('Transactions'!B23="","",'Transactions'!H23)</x:f>
        <x:v>ACHAT</x:v>
      </x:c>
      <x:c r="I23" s="32" t="n">
        <x:f>IF(B23="","",IF(COUNTIFS('Anomalies'!$C$19:$C$23,B23,'Anomalies'!$D$19:$D$23,"Quantite",'Anomalies'!$F$19:$F$23,"OUI")=1,SUMIFS('Anomalies'!$E$19:$E$23,'Anomalies'!$C$19:$C$23,B23,'Anomalies'!$D$19:$D$23,"Quantite",'Anomalies'!$F$19:$F$23,"OUI"),'Transactions'!I23))</x:f>
        <x:v>100</x:v>
      </x:c>
      <x:c r="J23" s="32" t="n">
        <x:f>IF('Transactions'!B23="","",'Transactions'!J23)</x:f>
        <x:v>60.28</x:v>
      </x:c>
      <x:c r="K23" s="32" t="n">
        <x:f>IF('Transactions'!B23="","",'Transactions'!K23)</x:f>
        <x:v>5</x:v>
      </x:c>
      <x:c r="L23" s="30" t="n">
        <x:f>IF(B23="",0,IF(COUNTIFS('Anomalies'!$C$19:$C$23,B23,'Anomalies'!$D$19:$D$23,"Exclure",'Anomalies'!$F$19:$F$23,"OUI")&gt;0,0,1))</x:f>
        <x:v>1</x:v>
      </x:c>
      <x:c r="M23" s="30" t="n">
        <x:f>IF(B23="","",IF(H23="ACHAT",I23,-I23)*L23)</x:f>
        <x:v>100</x:v>
      </x:c>
      <x:c r="N23" s="32" t="n">
        <x:f>IF(B23="","",ROUND(IF(H23="ACHAT",-I23*J23-K23,I23*J23-K23)*L23,2))</x:f>
        <x:v>-6033</x:v>
      </x:c>
      <x:c r="O23" s="30" t="n">
        <x:f>IF(B23="","",COUNTIFS($C$7:$C$76,C23,$L$7:$L$76,1))</x:f>
        <x:v>1</x:v>
      </x:c>
      <x:c r="P23" s="30" t="n">
        <x:f>IF(OR(B23="",L23=0),0,IF(AND(COUNTIFS($B$7:$B$76,B23,$L$7:$L$76,1)=1,C23&lt;&gt;"",'Transactions'!L23="EUR",ISNUMBER(D23),D23&gt;0,ISNUMBER(E23),E23&gt;=D23,OR(F23=0,AND(ISNUMBER(F23),F23&gt;=D23)),COUNTIFS('Marché'!$J$7:$J$11,G23)=1,OR(H23="ACHAT",H23="VENTE"),ISNUMBER(I23),I23&gt;0,ISNUMBER(J23),J23&gt;0,ISNUMBER(K23),K23&gt;=0),0,1))</x:f>
        <x:v>0</x:v>
      </x:c>
      <x:c r="Q23" s="30" t="n">
        <x:f>IF(OR(B23="",L23=0),0,IF(COUNTIFS('Dépositaire'!$C$7:$C$66,C23)=1,0,1))</x:f>
        <x:v>0</x:v>
      </x:c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0" customHeight="1">
      <x:c r="A24" s="2"/>
      <x:c r="B24" s="30" t="str">
        <x:f>IF('Transactions'!B24="","",'Transactions'!B24)</x:f>
        <x:v>REC-019</x:v>
      </x:c>
      <x:c r="C24" s="30" t="str">
        <x:f>IF('Transactions'!B24="","",'Transactions'!C24)</x:f>
        <x:v>TR-019</x:v>
      </x:c>
      <x:c r="D24" s="31" t="n">
        <x:f>IF('Transactions'!B24="","",'Transactions'!D24)</x:f>
        <x:v>46287</x:v>
      </x:c>
      <x:c r="E24" s="31" t="n">
        <x:f>IF('Transactions'!B24="","",'Transactions'!E24)</x:f>
        <x:v>46289</x:v>
      </x:c>
      <x:c r="F24" s="31" t="n">
        <x:f>IF('Transactions'!B24="","",IF('Transactions'!F24="",0,'Transactions'!F24))</x:f>
        <x:v>46289</x:v>
      </x:c>
      <x:c r="G24" s="30" t="str">
        <x:f>IF('Transactions'!B24="","",'Transactions'!G24)</x:f>
        <x:v>FR0000125486</x:v>
      </x:c>
      <x:c r="H24" s="30" t="str">
        <x:f>IF('Transactions'!B24="","",'Transactions'!H24)</x:f>
        <x:v>VENTE</x:v>
      </x:c>
      <x:c r="I24" s="32" t="n">
        <x:f>IF(B24="","",IF(COUNTIFS('Anomalies'!$C$19:$C$23,B24,'Anomalies'!$D$19:$D$23,"Quantite",'Anomalies'!$F$19:$F$23,"OUI")=1,SUMIFS('Anomalies'!$E$19:$E$23,'Anomalies'!$C$19:$C$23,B24,'Anomalies'!$D$19:$D$23,"Quantite",'Anomalies'!$F$19:$F$23,"OUI"),'Transactions'!I24))</x:f>
        <x:v>50</x:v>
      </x:c>
      <x:c r="J24" s="32" t="n">
        <x:f>IF('Transactions'!B24="","",'Transactions'!J24)</x:f>
        <x:v>115.96</x:v>
      </x:c>
      <x:c r="K24" s="32" t="n">
        <x:f>IF('Transactions'!B24="","",'Transactions'!K24)</x:f>
        <x:v>5</x:v>
      </x:c>
      <x:c r="L24" s="30" t="n">
        <x:f>IF(B24="",0,IF(COUNTIFS('Anomalies'!$C$19:$C$23,B24,'Anomalies'!$D$19:$D$23,"Exclure",'Anomalies'!$F$19:$F$23,"OUI")&gt;0,0,1))</x:f>
        <x:v>1</x:v>
      </x:c>
      <x:c r="M24" s="30" t="n">
        <x:f>IF(B24="","",IF(H24="ACHAT",I24,-I24)*L24)</x:f>
        <x:v>-50</x:v>
      </x:c>
      <x:c r="N24" s="32" t="n">
        <x:f>IF(B24="","",ROUND(IF(H24="ACHAT",-I24*J24-K24,I24*J24-K24)*L24,2))</x:f>
        <x:v>5793</x:v>
      </x:c>
      <x:c r="O24" s="30" t="n">
        <x:f>IF(B24="","",COUNTIFS($C$7:$C$76,C24,$L$7:$L$76,1))</x:f>
        <x:v>1</x:v>
      </x:c>
      <x:c r="P24" s="30" t="n">
        <x:f>IF(OR(B24="",L24=0),0,IF(AND(COUNTIFS($B$7:$B$76,B24,$L$7:$L$76,1)=1,C24&lt;&gt;"",'Transactions'!L24="EUR",ISNUMBER(D24),D24&gt;0,ISNUMBER(E24),E24&gt;=D24,OR(F24=0,AND(ISNUMBER(F24),F24&gt;=D24)),COUNTIFS('Marché'!$J$7:$J$11,G24)=1,OR(H24="ACHAT",H24="VENTE"),ISNUMBER(I24),I24&gt;0,ISNUMBER(J24),J24&gt;0,ISNUMBER(K24),K24&gt;=0),0,1))</x:f>
        <x:v>0</x:v>
      </x:c>
      <x:c r="Q24" s="30" t="n">
        <x:f>IF(OR(B24="",L24=0),0,IF(COUNTIFS('Dépositaire'!$C$7:$C$66,C24)=1,0,1))</x:f>
        <x:v>0</x:v>
      </x:c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0" customHeight="1">
      <x:c r="A25" s="2"/>
      <x:c r="B25" s="30" t="str">
        <x:f>IF('Transactions'!B25="","",'Transactions'!B25)</x:f>
        <x:v>REC-020</x:v>
      </x:c>
      <x:c r="C25" s="30" t="str">
        <x:f>IF('Transactions'!B25="","",'Transactions'!C25)</x:f>
        <x:v>TR-020</x:v>
      </x:c>
      <x:c r="D25" s="31" t="n">
        <x:f>IF('Transactions'!B25="","",'Transactions'!D25)</x:f>
        <x:v>46287</x:v>
      </x:c>
      <x:c r="E25" s="31" t="n">
        <x:f>IF('Transactions'!B25="","",'Transactions'!E25)</x:f>
        <x:v>46289</x:v>
      </x:c>
      <x:c r="F25" s="31" t="n">
        <x:f>IF('Transactions'!B25="","",IF('Transactions'!F25="",0,'Transactions'!F25))</x:f>
        <x:v>46289</x:v>
      </x:c>
      <x:c r="G25" s="30" t="str">
        <x:f>IF('Transactions'!B25="","",'Transactions'!G25)</x:f>
        <x:v>FR0000120321</x:v>
      </x:c>
      <x:c r="H25" s="30" t="str">
        <x:f>IF('Transactions'!B25="","",'Transactions'!H25)</x:f>
        <x:v>ACHAT</x:v>
      </x:c>
      <x:c r="I25" s="32" t="n">
        <x:f>IF(B25="","",IF(COUNTIFS('Anomalies'!$C$19:$C$23,B25,'Anomalies'!$D$19:$D$23,"Quantite",'Anomalies'!$F$19:$F$23,"OUI")=1,SUMIFS('Anomalies'!$E$19:$E$23,'Anomalies'!$C$19:$C$23,B25,'Anomalies'!$D$19:$D$23,"Quantite",'Anomalies'!$F$19:$F$23,"OUI"),'Transactions'!I25))</x:f>
        <x:v>20</x:v>
      </x:c>
      <x:c r="J25" s="32" t="n">
        <x:f>IF('Transactions'!B25="","",'Transactions'!J25)</x:f>
        <x:v>382.7</x:v>
      </x:c>
      <x:c r="K25" s="32" t="n">
        <x:f>IF('Transactions'!B25="","",'Transactions'!K25)</x:f>
        <x:v>5</x:v>
      </x:c>
      <x:c r="L25" s="30" t="n">
        <x:f>IF(B25="",0,IF(COUNTIFS('Anomalies'!$C$19:$C$23,B25,'Anomalies'!$D$19:$D$23,"Exclure",'Anomalies'!$F$19:$F$23,"OUI")&gt;0,0,1))</x:f>
        <x:v>1</x:v>
      </x:c>
      <x:c r="M25" s="30" t="n">
        <x:f>IF(B25="","",IF(H25="ACHAT",I25,-I25)*L25)</x:f>
        <x:v>20</x:v>
      </x:c>
      <x:c r="N25" s="32" t="n">
        <x:f>IF(B25="","",ROUND(IF(H25="ACHAT",-I25*J25-K25,I25*J25-K25)*L25,2))</x:f>
        <x:v>-7659</x:v>
      </x:c>
      <x:c r="O25" s="30" t="n">
        <x:f>IF(B25="","",COUNTIFS($C$7:$C$76,C25,$L$7:$L$76,1))</x:f>
        <x:v>1</x:v>
      </x:c>
      <x:c r="P25" s="30" t="n">
        <x:f>IF(OR(B25="",L25=0),0,IF(AND(COUNTIFS($B$7:$B$76,B25,$L$7:$L$76,1)=1,C25&lt;&gt;"",'Transactions'!L25="EUR",ISNUMBER(D25),D25&gt;0,ISNUMBER(E25),E25&gt;=D25,OR(F25=0,AND(ISNUMBER(F25),F25&gt;=D25)),COUNTIFS('Marché'!$J$7:$J$11,G25)=1,OR(H25="ACHAT",H25="VENTE"),ISNUMBER(I25),I25&gt;0,ISNUMBER(J25),J25&gt;0,ISNUMBER(K25),K25&gt;=0),0,1))</x:f>
        <x:v>0</x:v>
      </x:c>
      <x:c r="Q25" s="30" t="n">
        <x:f>IF(OR(B25="",L25=0),0,IF(COUNTIFS('Dépositaire'!$C$7:$C$66,C25)=1,0,1))</x:f>
        <x:v>0</x:v>
      </x:c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0" customHeight="1">
      <x:c r="A26" s="2"/>
      <x:c r="B26" s="30" t="str">
        <x:f>IF('Transactions'!B26="","",'Transactions'!B26)</x:f>
        <x:v>REC-021</x:v>
      </x:c>
      <x:c r="C26" s="30" t="str">
        <x:f>IF('Transactions'!B26="","",'Transactions'!C26)</x:f>
        <x:v>TR-021</x:v>
      </x:c>
      <x:c r="D26" s="31" t="n">
        <x:f>IF('Transactions'!B26="","",'Transactions'!D26)</x:f>
        <x:v>46288</x:v>
      </x:c>
      <x:c r="E26" s="31" t="n">
        <x:f>IF('Transactions'!B26="","",'Transactions'!E26)</x:f>
        <x:v>46290</x:v>
      </x:c>
      <x:c r="F26" s="31" t="n">
        <x:f>IF('Transactions'!B26="","",IF('Transactions'!F26="",0,'Transactions'!F26))</x:f>
        <x:v>46290</x:v>
      </x:c>
      <x:c r="G26" s="30" t="str">
        <x:f>IF('Transactions'!B26="","",'Transactions'!G26)</x:f>
        <x:v>FR0000120073</x:v>
      </x:c>
      <x:c r="H26" s="30" t="str">
        <x:f>IF('Transactions'!B26="","",'Transactions'!H26)</x:f>
        <x:v>ACHAT</x:v>
      </x:c>
      <x:c r="I26" s="32" t="n">
        <x:f>IF(B26="","",IF(COUNTIFS('Anomalies'!$C$19:$C$23,B26,'Anomalies'!$D$19:$D$23,"Quantite",'Anomalies'!$F$19:$F$23,"OUI")=1,SUMIFS('Anomalies'!$E$19:$E$23,'Anomalies'!$C$19:$C$23,B26,'Anomalies'!$D$19:$D$23,"Quantite",'Anomalies'!$F$19:$F$23,"OUI"),'Transactions'!I26))</x:f>
        <x:v>30</x:v>
      </x:c>
      <x:c r="J26" s="32" t="n">
        <x:f>IF('Transactions'!B26="","",'Transactions'!J26)</x:f>
        <x:v>166.89</x:v>
      </x:c>
      <x:c r="K26" s="32" t="n">
        <x:f>IF('Transactions'!B26="","",'Transactions'!K26)</x:f>
        <x:v>5</x:v>
      </x:c>
      <x:c r="L26" s="30" t="n">
        <x:f>IF(B26="",0,IF(COUNTIFS('Anomalies'!$C$19:$C$23,B26,'Anomalies'!$D$19:$D$23,"Exclure",'Anomalies'!$F$19:$F$23,"OUI")&gt;0,0,1))</x:f>
        <x:v>1</x:v>
      </x:c>
      <x:c r="M26" s="30" t="n">
        <x:f>IF(B26="","",IF(H26="ACHAT",I26,-I26)*L26)</x:f>
        <x:v>30</x:v>
      </x:c>
      <x:c r="N26" s="32" t="n">
        <x:f>IF(B26="","",ROUND(IF(H26="ACHAT",-I26*J26-K26,I26*J26-K26)*L26,2))</x:f>
        <x:v>-5011.7</x:v>
      </x:c>
      <x:c r="O26" s="30" t="n">
        <x:f>IF(B26="","",COUNTIFS($C$7:$C$76,C26,$L$7:$L$76,1))</x:f>
        <x:v>1</x:v>
      </x:c>
      <x:c r="P26" s="30" t="n">
        <x:f>IF(OR(B26="",L26=0),0,IF(AND(COUNTIFS($B$7:$B$76,B26,$L$7:$L$76,1)=1,C26&lt;&gt;"",'Transactions'!L26="EUR",ISNUMBER(D26),D26&gt;0,ISNUMBER(E26),E26&gt;=D26,OR(F26=0,AND(ISNUMBER(F26),F26&gt;=D26)),COUNTIFS('Marché'!$J$7:$J$11,G26)=1,OR(H26="ACHAT",H26="VENTE"),ISNUMBER(I26),I26&gt;0,ISNUMBER(J26),J26&gt;0,ISNUMBER(K26),K26&gt;=0),0,1))</x:f>
        <x:v>0</x:v>
      </x:c>
      <x:c r="Q26" s="30" t="n">
        <x:f>IF(OR(B26="",L26=0),0,IF(COUNTIFS('Dépositaire'!$C$7:$C$66,C26)=1,0,1))</x:f>
        <x:v>0</x:v>
      </x:c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0" customHeight="1">
      <x:c r="A27" s="2"/>
      <x:c r="B27" s="30" t="str">
        <x:f>IF('Transactions'!B27="","",'Transactions'!B27)</x:f>
        <x:v>REC-022</x:v>
      </x:c>
      <x:c r="C27" s="30" t="str">
        <x:f>IF('Transactions'!B27="","",'Transactions'!C27)</x:f>
        <x:v>TR-022</x:v>
      </x:c>
      <x:c r="D27" s="31" t="n">
        <x:f>IF('Transactions'!B27="","",'Transactions'!D27)</x:f>
        <x:v>46288</x:v>
      </x:c>
      <x:c r="E27" s="31" t="n">
        <x:f>IF('Transactions'!B27="","",'Transactions'!E27)</x:f>
        <x:v>46290</x:v>
      </x:c>
      <x:c r="F27" s="31" t="n">
        <x:f>IF('Transactions'!B27="","",IF('Transactions'!F27="",0,'Transactions'!F27))</x:f>
        <x:v>46290</x:v>
      </x:c>
      <x:c r="G27" s="30" t="str">
        <x:f>IF('Transactions'!B27="","",'Transactions'!G27)</x:f>
        <x:v>FR0000120644</x:v>
      </x:c>
      <x:c r="H27" s="30" t="str">
        <x:f>IF('Transactions'!B27="","",'Transactions'!H27)</x:f>
        <x:v>VENTE</x:v>
      </x:c>
      <x:c r="I27" s="32" t="n">
        <x:f>IF(B27="","",IF(COUNTIFS('Anomalies'!$C$19:$C$23,B27,'Anomalies'!$D$19:$D$23,"Quantite",'Anomalies'!$F$19:$F$23,"OUI")=1,SUMIFS('Anomalies'!$E$19:$E$23,'Anomalies'!$C$19:$C$23,B27,'Anomalies'!$D$19:$D$23,"Quantite",'Anomalies'!$F$19:$F$23,"OUI"),'Transactions'!I27))</x:f>
        <x:v>75</x:v>
      </x:c>
      <x:c r="J27" s="32" t="n">
        <x:f>IF('Transactions'!B27="","",'Transactions'!J27)</x:f>
        <x:v>61.2</x:v>
      </x:c>
      <x:c r="K27" s="32" t="n">
        <x:f>IF('Transactions'!B27="","",'Transactions'!K27)</x:f>
        <x:v>5</x:v>
      </x:c>
      <x:c r="L27" s="30" t="n">
        <x:f>IF(B27="",0,IF(COUNTIFS('Anomalies'!$C$19:$C$23,B27,'Anomalies'!$D$19:$D$23,"Exclure",'Anomalies'!$F$19:$F$23,"OUI")&gt;0,0,1))</x:f>
        <x:v>1</x:v>
      </x:c>
      <x:c r="M27" s="30" t="n">
        <x:f>IF(B27="","",IF(H27="ACHAT",I27,-I27)*L27)</x:f>
        <x:v>-75</x:v>
      </x:c>
      <x:c r="N27" s="32" t="n">
        <x:f>IF(B27="","",ROUND(IF(H27="ACHAT",-I27*J27-K27,I27*J27-K27)*L27,2))</x:f>
        <x:v>4585</x:v>
      </x:c>
      <x:c r="O27" s="30" t="n">
        <x:f>IF(B27="","",COUNTIFS($C$7:$C$76,C27,$L$7:$L$76,1))</x:f>
        <x:v>1</x:v>
      </x:c>
      <x:c r="P27" s="30" t="n">
        <x:f>IF(OR(B27="",L27=0),0,IF(AND(COUNTIFS($B$7:$B$76,B27,$L$7:$L$76,1)=1,C27&lt;&gt;"",'Transactions'!L27="EUR",ISNUMBER(D27),D27&gt;0,ISNUMBER(E27),E27&gt;=D27,OR(F27=0,AND(ISNUMBER(F27),F27&gt;=D27)),COUNTIFS('Marché'!$J$7:$J$11,G27)=1,OR(H27="ACHAT",H27="VENTE"),ISNUMBER(I27),I27&gt;0,ISNUMBER(J27),J27&gt;0,ISNUMBER(K27),K27&gt;=0),0,1))</x:f>
        <x:v>0</x:v>
      </x:c>
      <x:c r="Q27" s="30" t="n">
        <x:f>IF(OR(B27="",L27=0),0,IF(COUNTIFS('Dépositaire'!$C$7:$C$66,C27)=1,0,1))</x:f>
        <x:v>0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30" t="str">
        <x:f>IF('Transactions'!B28="","",'Transactions'!B28)</x:f>
        <x:v>REC-023</x:v>
      </x:c>
      <x:c r="C28" s="30" t="str">
        <x:f>IF('Transactions'!B28="","",'Transactions'!C28)</x:f>
        <x:v>TR-023</x:v>
      </x:c>
      <x:c r="D28" s="31" t="n">
        <x:f>IF('Transactions'!B28="","",'Transactions'!D28)</x:f>
        <x:v>46289</x:v>
      </x:c>
      <x:c r="E28" s="31" t="n">
        <x:f>IF('Transactions'!B28="","",'Transactions'!E28)</x:f>
        <x:v>46293</x:v>
      </x:c>
      <x:c r="F28" s="31" t="n">
        <x:f>IF('Transactions'!B28="","",IF('Transactions'!F28="",0,'Transactions'!F28))</x:f>
        <x:v>46293</x:v>
      </x:c>
      <x:c r="G28" s="30" t="str">
        <x:f>IF('Transactions'!B28="","",'Transactions'!G28)</x:f>
        <x:v>FR0000121972</x:v>
      </x:c>
      <x:c r="H28" s="30" t="str">
        <x:f>IF('Transactions'!B28="","",'Transactions'!H28)</x:f>
        <x:v>VENTE</x:v>
      </x:c>
      <x:c r="I28" s="32" t="n">
        <x:f>IF(B28="","",IF(COUNTIFS('Anomalies'!$C$19:$C$23,B28,'Anomalies'!$D$19:$D$23,"Quantite",'Anomalies'!$F$19:$F$23,"OUI")=1,SUMIFS('Anomalies'!$E$19:$E$23,'Anomalies'!$C$19:$C$23,B28,'Anomalies'!$D$19:$D$23,"Quantite",'Anomalies'!$F$19:$F$23,"OUI"),'Transactions'!I28))</x:f>
        <x:v>25</x:v>
      </x:c>
      <x:c r="J28" s="32" t="n">
        <x:f>IF('Transactions'!B28="","",'Transactions'!J28)</x:f>
        <x:v>207.38</x:v>
      </x:c>
      <x:c r="K28" s="32" t="n">
        <x:f>IF('Transactions'!B28="","",'Transactions'!K28)</x:f>
        <x:v>5</x:v>
      </x:c>
      <x:c r="L28" s="30" t="n">
        <x:f>IF(B28="",0,IF(COUNTIFS('Anomalies'!$C$19:$C$23,B28,'Anomalies'!$D$19:$D$23,"Exclure",'Anomalies'!$F$19:$F$23,"OUI")&gt;0,0,1))</x:f>
        <x:v>1</x:v>
      </x:c>
      <x:c r="M28" s="30" t="n">
        <x:f>IF(B28="","",IF(H28="ACHAT",I28,-I28)*L28)</x:f>
        <x:v>-25</x:v>
      </x:c>
      <x:c r="N28" s="32" t="n">
        <x:f>IF(B28="","",ROUND(IF(H28="ACHAT",-I28*J28-K28,I28*J28-K28)*L28,2))</x:f>
        <x:v>5179.5</x:v>
      </x:c>
      <x:c r="O28" s="30" t="n">
        <x:f>IF(B28="","",COUNTIFS($C$7:$C$76,C28,$L$7:$L$76,1))</x:f>
        <x:v>1</x:v>
      </x:c>
      <x:c r="P28" s="30" t="n">
        <x:f>IF(OR(B28="",L28=0),0,IF(AND(COUNTIFS($B$7:$B$76,B28,$L$7:$L$76,1)=1,C28&lt;&gt;"",'Transactions'!L28="EUR",ISNUMBER(D28),D28&gt;0,ISNUMBER(E28),E28&gt;=D28,OR(F28=0,AND(ISNUMBER(F28),F28&gt;=D28)),COUNTIFS('Marché'!$J$7:$J$11,G28)=1,OR(H28="ACHAT",H28="VENTE"),ISNUMBER(I28),I28&gt;0,ISNUMBER(J28),J28&gt;0,ISNUMBER(K28),K28&gt;=0),0,1))</x:f>
        <x:v>0</x:v>
      </x:c>
      <x:c r="Q28" s="30" t="n">
        <x:f>IF(OR(B28="",L28=0),0,IF(COUNTIFS('Dépositaire'!$C$7:$C$66,C28)=1,0,1))</x:f>
        <x:v>0</x:v>
      </x:c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30" t="str">
        <x:f>IF('Transactions'!B29="","",'Transactions'!B29)</x:f>
        <x:v>REC-024</x:v>
      </x:c>
      <x:c r="C29" s="30" t="str">
        <x:f>IF('Transactions'!B29="","",'Transactions'!C29)</x:f>
        <x:v>TR-024</x:v>
      </x:c>
      <x:c r="D29" s="31" t="n">
        <x:f>IF('Transactions'!B29="","",'Transactions'!D29)</x:f>
        <x:v>46289</x:v>
      </x:c>
      <x:c r="E29" s="31" t="n">
        <x:f>IF('Transactions'!B29="","",'Transactions'!E29)</x:f>
        <x:v>46293</x:v>
      </x:c>
      <x:c r="F29" s="31" t="n">
        <x:f>IF('Transactions'!B29="","",IF('Transactions'!F29="",0,'Transactions'!F29))</x:f>
        <x:v>46293</x:v>
      </x:c>
      <x:c r="G29" s="30" t="str">
        <x:f>IF('Transactions'!B29="","",'Transactions'!G29)</x:f>
        <x:v>FR0000125486</x:v>
      </x:c>
      <x:c r="H29" s="30" t="str">
        <x:f>IF('Transactions'!B29="","",'Transactions'!H29)</x:f>
        <x:v>ACHAT</x:v>
      </x:c>
      <x:c r="I29" s="32" t="n">
        <x:f>IF(B29="","",IF(COUNTIFS('Anomalies'!$C$19:$C$23,B29,'Anomalies'!$D$19:$D$23,"Quantite",'Anomalies'!$F$19:$F$23,"OUI")=1,SUMIFS('Anomalies'!$E$19:$E$23,'Anomalies'!$C$19:$C$23,B29,'Anomalies'!$D$19:$D$23,"Quantite",'Anomalies'!$F$19:$F$23,"OUI"),'Transactions'!I29))</x:f>
        <x:v>80</x:v>
      </x:c>
      <x:c r="J29" s="32" t="n">
        <x:f>IF('Transactions'!B29="","",'Transactions'!J29)</x:f>
        <x:v>117.1</x:v>
      </x:c>
      <x:c r="K29" s="32" t="n">
        <x:f>IF('Transactions'!B29="","",'Transactions'!K29)</x:f>
        <x:v>5</x:v>
      </x:c>
      <x:c r="L29" s="30" t="n">
        <x:f>IF(B29="",0,IF(COUNTIFS('Anomalies'!$C$19:$C$23,B29,'Anomalies'!$D$19:$D$23,"Exclure",'Anomalies'!$F$19:$F$23,"OUI")&gt;0,0,1))</x:f>
        <x:v>1</x:v>
      </x:c>
      <x:c r="M29" s="30" t="n">
        <x:f>IF(B29="","",IF(H29="ACHAT",I29,-I29)*L29)</x:f>
        <x:v>80</x:v>
      </x:c>
      <x:c r="N29" s="32" t="n">
        <x:f>IF(B29="","",ROUND(IF(H29="ACHAT",-I29*J29-K29,I29*J29-K29)*L29,2))</x:f>
        <x:v>-9373</x:v>
      </x:c>
      <x:c r="O29" s="30" t="n">
        <x:f>IF(B29="","",COUNTIFS($C$7:$C$76,C29,$L$7:$L$76,1))</x:f>
        <x:v>1</x:v>
      </x:c>
      <x:c r="P29" s="30" t="n">
        <x:f>IF(OR(B29="",L29=0),0,IF(AND(COUNTIFS($B$7:$B$76,B29,$L$7:$L$76,1)=1,C29&lt;&gt;"",'Transactions'!L29="EUR",ISNUMBER(D29),D29&gt;0,ISNUMBER(E29),E29&gt;=D29,OR(F29=0,AND(ISNUMBER(F29),F29&gt;=D29)),COUNTIFS('Marché'!$J$7:$J$11,G29)=1,OR(H29="ACHAT",H29="VENTE"),ISNUMBER(I29),I29&gt;0,ISNUMBER(J29),J29&gt;0,ISNUMBER(K29),K29&gt;=0),0,1))</x:f>
        <x:v>0</x:v>
      </x:c>
      <x:c r="Q29" s="30" t="n">
        <x:f>IF(OR(B29="",L29=0),0,IF(COUNTIFS('Dépositaire'!$C$7:$C$66,C29)=1,0,1))</x:f>
        <x:v>0</x:v>
      </x:c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0" customHeight="1">
      <x:c r="A30" s="2"/>
      <x:c r="B30" s="30" t="str">
        <x:f>IF('Transactions'!B30="","",'Transactions'!B30)</x:f>
        <x:v>REC-025</x:v>
      </x:c>
      <x:c r="C30" s="30" t="str">
        <x:f>IF('Transactions'!B30="","",'Transactions'!C30)</x:f>
        <x:v>TR-025</x:v>
      </x:c>
      <x:c r="D30" s="31" t="n">
        <x:f>IF('Transactions'!B30="","",'Transactions'!D30)</x:f>
        <x:v>46290</x:v>
      </x:c>
      <x:c r="E30" s="31" t="n">
        <x:f>IF('Transactions'!B30="","",'Transactions'!E30)</x:f>
        <x:v>46294</x:v>
      </x:c>
      <x:c r="F30" s="31" t="n">
        <x:f>IF('Transactions'!B30="","",IF('Transactions'!F30="",0,'Transactions'!F30))</x:f>
        <x:v>46294</x:v>
      </x:c>
      <x:c r="G30" s="30" t="str">
        <x:f>IF('Transactions'!B30="","",'Transactions'!G30)</x:f>
        <x:v>FR0000120321</x:v>
      </x:c>
      <x:c r="H30" s="30" t="str">
        <x:f>IF('Transactions'!B30="","",'Transactions'!H30)</x:f>
        <x:v>VENTE</x:v>
      </x:c>
      <x:c r="I30" s="32" t="n">
        <x:f>IF(B30="","",IF(COUNTIFS('Anomalies'!$C$19:$C$23,B30,'Anomalies'!$D$19:$D$23,"Quantite",'Anomalies'!$F$19:$F$23,"OUI")=1,SUMIFS('Anomalies'!$E$19:$E$23,'Anomalies'!$C$19:$C$23,B30,'Anomalies'!$D$19:$D$23,"Quantite",'Anomalies'!$F$19:$F$23,"OUI"),'Transactions'!I30))</x:f>
        <x:v>15</x:v>
      </x:c>
      <x:c r="J30" s="32" t="n">
        <x:f>IF('Transactions'!B30="","",'Transactions'!J30)</x:f>
        <x:v>381.32</x:v>
      </x:c>
      <x:c r="K30" s="32" t="n">
        <x:f>IF('Transactions'!B30="","",'Transactions'!K30)</x:f>
        <x:v>5</x:v>
      </x:c>
      <x:c r="L30" s="30" t="n">
        <x:f>IF(B30="",0,IF(COUNTIFS('Anomalies'!$C$19:$C$23,B30,'Anomalies'!$D$19:$D$23,"Exclure",'Anomalies'!$F$19:$F$23,"OUI")&gt;0,0,1))</x:f>
        <x:v>1</x:v>
      </x:c>
      <x:c r="M30" s="30" t="n">
        <x:f>IF(B30="","",IF(H30="ACHAT",I30,-I30)*L30)</x:f>
        <x:v>-15</x:v>
      </x:c>
      <x:c r="N30" s="32" t="n">
        <x:f>IF(B30="","",ROUND(IF(H30="ACHAT",-I30*J30-K30,I30*J30-K30)*L30,2))</x:f>
        <x:v>5714.8</x:v>
      </x:c>
      <x:c r="O30" s="30" t="n">
        <x:f>IF(B30="","",COUNTIFS($C$7:$C$76,C30,$L$7:$L$76,1))</x:f>
        <x:v>1</x:v>
      </x:c>
      <x:c r="P30" s="30" t="n">
        <x:f>IF(OR(B30="",L30=0),0,IF(AND(COUNTIFS($B$7:$B$76,B30,$L$7:$L$76,1)=1,C30&lt;&gt;"",'Transactions'!L30="EUR",ISNUMBER(D30),D30&gt;0,ISNUMBER(E30),E30&gt;=D30,OR(F30=0,AND(ISNUMBER(F30),F30&gt;=D30)),COUNTIFS('Marché'!$J$7:$J$11,G30)=1,OR(H30="ACHAT",H30="VENTE"),ISNUMBER(I30),I30&gt;0,ISNUMBER(J30),J30&gt;0,ISNUMBER(K30),K30&gt;=0),0,1))</x:f>
        <x:v>0</x:v>
      </x:c>
      <x:c r="Q30" s="30" t="n">
        <x:f>IF(OR(B30="",L30=0),0,IF(COUNTIFS('Dépositaire'!$C$7:$C$66,C30)=1,0,1))</x:f>
        <x:v>0</x:v>
      </x:c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30" t="str">
        <x:f>IF('Transactions'!B31="","",'Transactions'!B31)</x:f>
        <x:v>REC-018-DUP</x:v>
      </x:c>
      <x:c r="C31" s="30" t="str">
        <x:f>IF('Transactions'!B31="","",'Transactions'!C31)</x:f>
        <x:v>TR-018</x:v>
      </x:c>
      <x:c r="D31" s="31" t="n">
        <x:f>IF('Transactions'!B31="","",'Transactions'!D31)</x:f>
        <x:v>46286</x:v>
      </x:c>
      <x:c r="E31" s="31" t="n">
        <x:f>IF('Transactions'!B31="","",'Transactions'!E31)</x:f>
        <x:v>46288</x:v>
      </x:c>
      <x:c r="F31" s="31" t="n">
        <x:f>IF('Transactions'!B31="","",IF('Transactions'!F31="",0,'Transactions'!F31))</x:f>
        <x:v>46288</x:v>
      </x:c>
      <x:c r="G31" s="30" t="str">
        <x:f>IF('Transactions'!B31="","",'Transactions'!G31)</x:f>
        <x:v>FR0000120644</x:v>
      </x:c>
      <x:c r="H31" s="30" t="str">
        <x:f>IF('Transactions'!B31="","",'Transactions'!H31)</x:f>
        <x:v>ACHAT</x:v>
      </x:c>
      <x:c r="I31" s="32" t="n">
        <x:f>IF(B31="","",IF(COUNTIFS('Anomalies'!$C$19:$C$23,B31,'Anomalies'!$D$19:$D$23,"Quantite",'Anomalies'!$F$19:$F$23,"OUI")=1,SUMIFS('Anomalies'!$E$19:$E$23,'Anomalies'!$C$19:$C$23,B31,'Anomalies'!$D$19:$D$23,"Quantite",'Anomalies'!$F$19:$F$23,"OUI"),'Transactions'!I31))</x:f>
        <x:v>100</x:v>
      </x:c>
      <x:c r="J31" s="32" t="n">
        <x:f>IF('Transactions'!B31="","",'Transactions'!J31)</x:f>
        <x:v>60.28</x:v>
      </x:c>
      <x:c r="K31" s="32" t="n">
        <x:f>IF('Transactions'!B31="","",'Transactions'!K31)</x:f>
        <x:v>5</x:v>
      </x:c>
      <x:c r="L31" s="30" t="n">
        <x:f>IF(B31="",0,IF(COUNTIFS('Anomalies'!$C$19:$C$23,B31,'Anomalies'!$D$19:$D$23,"Exclure",'Anomalies'!$F$19:$F$23,"OUI")&gt;0,0,1))</x:f>
        <x:v>0</x:v>
      </x:c>
      <x:c r="M31" s="30" t="n">
        <x:f>IF(B31="","",IF(H31="ACHAT",I31,-I31)*L31)</x:f>
        <x:v>0</x:v>
      </x:c>
      <x:c r="N31" s="32" t="n">
        <x:f>IF(B31="","",ROUND(IF(H31="ACHAT",-I31*J31-K31,I31*J31-K31)*L31,2))</x:f>
        <x:v>0</x:v>
      </x:c>
      <x:c r="O31" s="30" t="n">
        <x:f>IF(B31="","",COUNTIFS($C$7:$C$76,C31,$L$7:$L$76,1))</x:f>
        <x:v>1</x:v>
      </x:c>
      <x:c r="P31" s="30" t="n">
        <x:f>IF(OR(B31="",L31=0),0,IF(AND(COUNTIFS($B$7:$B$76,B31,$L$7:$L$76,1)=1,C31&lt;&gt;"",'Transactions'!L31="EUR",ISNUMBER(D31),D31&gt;0,ISNUMBER(E31),E31&gt;=D31,OR(F31=0,AND(ISNUMBER(F31),F31&gt;=D31)),COUNTIFS('Marché'!$J$7:$J$11,G31)=1,OR(H31="ACHAT",H31="VENTE"),ISNUMBER(I31),I31&gt;0,ISNUMBER(J31),J31&gt;0,ISNUMBER(K31),K31&gt;=0),0,1))</x:f>
        <x:v>0</x:v>
      </x:c>
      <x:c r="Q31" s="30" t="n">
        <x:f>IF(OR(B31="",L31=0),0,IF(COUNTIFS('Dépositaire'!$C$7:$C$66,C31)=1,0,1))</x:f>
        <x:v>0</x:v>
      </x:c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0" customHeight="1">
      <x:c r="A32" s="2"/>
      <x:c r="B32" s="30" t="str">
        <x:f>IF('Transactions'!B32="","",'Transactions'!B32)</x:f>
      </x:c>
      <x:c r="C32" s="30" t="str">
        <x:f>IF('Transactions'!B32="","",'Transactions'!C32)</x:f>
      </x:c>
      <x:c r="D32" s="31" t="str">
        <x:f>IF('Transactions'!B32="","",'Transactions'!D32)</x:f>
      </x:c>
      <x:c r="E32" s="31" t="str">
        <x:f>IF('Transactions'!B32="","",'Transactions'!E32)</x:f>
      </x:c>
      <x:c r="F32" s="31" t="str">
        <x:f>IF('Transactions'!B32="","",IF('Transactions'!F32="",0,'Transactions'!F32))</x:f>
      </x:c>
      <x:c r="G32" s="30" t="str">
        <x:f>IF('Transactions'!B32="","",'Transactions'!G32)</x:f>
      </x:c>
      <x:c r="H32" s="30" t="str">
        <x:f>IF('Transactions'!B32="","",'Transactions'!H32)</x:f>
      </x:c>
      <x:c r="I32" s="32" t="str">
        <x:f>IF(B32="","",IF(COUNTIFS('Anomalies'!$C$19:$C$23,B32,'Anomalies'!$D$19:$D$23,"Quantite",'Anomalies'!$F$19:$F$23,"OUI")=1,SUMIFS('Anomalies'!$E$19:$E$23,'Anomalies'!$C$19:$C$23,B32,'Anomalies'!$D$19:$D$23,"Quantite",'Anomalies'!$F$19:$F$23,"OUI"),'Transactions'!I32))</x:f>
      </x:c>
      <x:c r="J32" s="32" t="str">
        <x:f>IF('Transactions'!B32="","",'Transactions'!J32)</x:f>
      </x:c>
      <x:c r="K32" s="32" t="str">
        <x:f>IF('Transactions'!B32="","",'Transactions'!K32)</x:f>
      </x:c>
      <x:c r="L32" s="30" t="n">
        <x:f>IF(B32="",0,IF(COUNTIFS('Anomalies'!$C$19:$C$23,B32,'Anomalies'!$D$19:$D$23,"Exclure",'Anomalies'!$F$19:$F$23,"OUI")&gt;0,0,1))</x:f>
        <x:v>0</x:v>
      </x:c>
      <x:c r="M32" s="30" t="str">
        <x:f>IF(B32="","",IF(H32="ACHAT",I32,-I32)*L32)</x:f>
      </x:c>
      <x:c r="N32" s="32" t="str">
        <x:f>IF(B32="","",ROUND(IF(H32="ACHAT",-I32*J32-K32,I32*J32-K32)*L32,2))</x:f>
      </x:c>
      <x:c r="O32" s="30" t="str">
        <x:f>IF(B32="","",COUNTIFS($C$7:$C$76,C32,$L$7:$L$76,1))</x:f>
      </x:c>
      <x:c r="P32" s="30" t="n">
        <x:f>IF(OR(B32="",L32=0),0,IF(AND(COUNTIFS($B$7:$B$76,B32,$L$7:$L$76,1)=1,C32&lt;&gt;"",'Transactions'!L32="EUR",ISNUMBER(D32),D32&gt;0,ISNUMBER(E32),E32&gt;=D32,OR(F32=0,AND(ISNUMBER(F32),F32&gt;=D32)),COUNTIFS('Marché'!$J$7:$J$11,G32)=1,OR(H32="ACHAT",H32="VENTE"),ISNUMBER(I32),I32&gt;0,ISNUMBER(J32),J32&gt;0,ISNUMBER(K32),K32&gt;=0),0,1))</x:f>
        <x:v>0</x:v>
      </x:c>
      <x:c r="Q32" s="30" t="n">
        <x:f>IF(OR(B32="",L32=0),0,IF(COUNTIFS('Dépositaire'!$C$7:$C$66,C32)=1,0,1))</x:f>
        <x:v>0</x:v>
      </x:c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30" t="str">
        <x:f>IF('Transactions'!B33="","",'Transactions'!B33)</x:f>
      </x:c>
      <x:c r="C33" s="30" t="str">
        <x:f>IF('Transactions'!B33="","",'Transactions'!C33)</x:f>
      </x:c>
      <x:c r="D33" s="31" t="str">
        <x:f>IF('Transactions'!B33="","",'Transactions'!D33)</x:f>
      </x:c>
      <x:c r="E33" s="31" t="str">
        <x:f>IF('Transactions'!B33="","",'Transactions'!E33)</x:f>
      </x:c>
      <x:c r="F33" s="31" t="str">
        <x:f>IF('Transactions'!B33="","",IF('Transactions'!F33="",0,'Transactions'!F33))</x:f>
      </x:c>
      <x:c r="G33" s="30" t="str">
        <x:f>IF('Transactions'!B33="","",'Transactions'!G33)</x:f>
      </x:c>
      <x:c r="H33" s="30" t="str">
        <x:f>IF('Transactions'!B33="","",'Transactions'!H33)</x:f>
      </x:c>
      <x:c r="I33" s="32" t="str">
        <x:f>IF(B33="","",IF(COUNTIFS('Anomalies'!$C$19:$C$23,B33,'Anomalies'!$D$19:$D$23,"Quantite",'Anomalies'!$F$19:$F$23,"OUI")=1,SUMIFS('Anomalies'!$E$19:$E$23,'Anomalies'!$C$19:$C$23,B33,'Anomalies'!$D$19:$D$23,"Quantite",'Anomalies'!$F$19:$F$23,"OUI"),'Transactions'!I33))</x:f>
      </x:c>
      <x:c r="J33" s="32" t="str">
        <x:f>IF('Transactions'!B33="","",'Transactions'!J33)</x:f>
      </x:c>
      <x:c r="K33" s="32" t="str">
        <x:f>IF('Transactions'!B33="","",'Transactions'!K33)</x:f>
      </x:c>
      <x:c r="L33" s="30" t="n">
        <x:f>IF(B33="",0,IF(COUNTIFS('Anomalies'!$C$19:$C$23,B33,'Anomalies'!$D$19:$D$23,"Exclure",'Anomalies'!$F$19:$F$23,"OUI")&gt;0,0,1))</x:f>
        <x:v>0</x:v>
      </x:c>
      <x:c r="M33" s="30" t="str">
        <x:f>IF(B33="","",IF(H33="ACHAT",I33,-I33)*L33)</x:f>
      </x:c>
      <x:c r="N33" s="32" t="str">
        <x:f>IF(B33="","",ROUND(IF(H33="ACHAT",-I33*J33-K33,I33*J33-K33)*L33,2))</x:f>
      </x:c>
      <x:c r="O33" s="30" t="str">
        <x:f>IF(B33="","",COUNTIFS($C$7:$C$76,C33,$L$7:$L$76,1))</x:f>
      </x:c>
      <x:c r="P33" s="30" t="n">
        <x:f>IF(OR(B33="",L33=0),0,IF(AND(COUNTIFS($B$7:$B$76,B33,$L$7:$L$76,1)=1,C33&lt;&gt;"",'Transactions'!L33="EUR",ISNUMBER(D33),D33&gt;0,ISNUMBER(E33),E33&gt;=D33,OR(F33=0,AND(ISNUMBER(F33),F33&gt;=D33)),COUNTIFS('Marché'!$J$7:$J$11,G33)=1,OR(H33="ACHAT",H33="VENTE"),ISNUMBER(I33),I33&gt;0,ISNUMBER(J33),J33&gt;0,ISNUMBER(K33),K33&gt;=0),0,1))</x:f>
        <x:v>0</x:v>
      </x:c>
      <x:c r="Q33" s="30" t="n">
        <x:f>IF(OR(B33="",L33=0),0,IF(COUNTIFS('Dépositaire'!$C$7:$C$66,C33)=1,0,1))</x:f>
        <x:v>0</x:v>
      </x:c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30" t="str">
        <x:f>IF('Transactions'!B34="","",'Transactions'!B34)</x:f>
      </x:c>
      <x:c r="C34" s="30" t="str">
        <x:f>IF('Transactions'!B34="","",'Transactions'!C34)</x:f>
      </x:c>
      <x:c r="D34" s="31" t="str">
        <x:f>IF('Transactions'!B34="","",'Transactions'!D34)</x:f>
      </x:c>
      <x:c r="E34" s="31" t="str">
        <x:f>IF('Transactions'!B34="","",'Transactions'!E34)</x:f>
      </x:c>
      <x:c r="F34" s="31" t="str">
        <x:f>IF('Transactions'!B34="","",IF('Transactions'!F34="",0,'Transactions'!F34))</x:f>
      </x:c>
      <x:c r="G34" s="30" t="str">
        <x:f>IF('Transactions'!B34="","",'Transactions'!G34)</x:f>
      </x:c>
      <x:c r="H34" s="30" t="str">
        <x:f>IF('Transactions'!B34="","",'Transactions'!H34)</x:f>
      </x:c>
      <x:c r="I34" s="32" t="str">
        <x:f>IF(B34="","",IF(COUNTIFS('Anomalies'!$C$19:$C$23,B34,'Anomalies'!$D$19:$D$23,"Quantite",'Anomalies'!$F$19:$F$23,"OUI")=1,SUMIFS('Anomalies'!$E$19:$E$23,'Anomalies'!$C$19:$C$23,B34,'Anomalies'!$D$19:$D$23,"Quantite",'Anomalies'!$F$19:$F$23,"OUI"),'Transactions'!I34))</x:f>
      </x:c>
      <x:c r="J34" s="32" t="str">
        <x:f>IF('Transactions'!B34="","",'Transactions'!J34)</x:f>
      </x:c>
      <x:c r="K34" s="32" t="str">
        <x:f>IF('Transactions'!B34="","",'Transactions'!K34)</x:f>
      </x:c>
      <x:c r="L34" s="30" t="n">
        <x:f>IF(B34="",0,IF(COUNTIFS('Anomalies'!$C$19:$C$23,B34,'Anomalies'!$D$19:$D$23,"Exclure",'Anomalies'!$F$19:$F$23,"OUI")&gt;0,0,1))</x:f>
        <x:v>0</x:v>
      </x:c>
      <x:c r="M34" s="30" t="str">
        <x:f>IF(B34="","",IF(H34="ACHAT",I34,-I34)*L34)</x:f>
      </x:c>
      <x:c r="N34" s="32" t="str">
        <x:f>IF(B34="","",ROUND(IF(H34="ACHAT",-I34*J34-K34,I34*J34-K34)*L34,2))</x:f>
      </x:c>
      <x:c r="O34" s="30" t="str">
        <x:f>IF(B34="","",COUNTIFS($C$7:$C$76,C34,$L$7:$L$76,1))</x:f>
      </x:c>
      <x:c r="P34" s="30" t="n">
        <x:f>IF(OR(B34="",L34=0),0,IF(AND(COUNTIFS($B$7:$B$76,B34,$L$7:$L$76,1)=1,C34&lt;&gt;"",'Transactions'!L34="EUR",ISNUMBER(D34),D34&gt;0,ISNUMBER(E34),E34&gt;=D34,OR(F34=0,AND(ISNUMBER(F34),F34&gt;=D34)),COUNTIFS('Marché'!$J$7:$J$11,G34)=1,OR(H34="ACHAT",H34="VENTE"),ISNUMBER(I34),I34&gt;0,ISNUMBER(J34),J34&gt;0,ISNUMBER(K34),K34&gt;=0),0,1))</x:f>
        <x:v>0</x:v>
      </x:c>
      <x:c r="Q34" s="30" t="n">
        <x:f>IF(OR(B34="",L34=0),0,IF(COUNTIFS('Dépositaire'!$C$7:$C$66,C34)=1,0,1))</x:f>
        <x:v>0</x:v>
      </x:c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30" t="str">
        <x:f>IF('Transactions'!B35="","",'Transactions'!B35)</x:f>
      </x:c>
      <x:c r="C35" s="30" t="str">
        <x:f>IF('Transactions'!B35="","",'Transactions'!C35)</x:f>
      </x:c>
      <x:c r="D35" s="31" t="str">
        <x:f>IF('Transactions'!B35="","",'Transactions'!D35)</x:f>
      </x:c>
      <x:c r="E35" s="31" t="str">
        <x:f>IF('Transactions'!B35="","",'Transactions'!E35)</x:f>
      </x:c>
      <x:c r="F35" s="31" t="str">
        <x:f>IF('Transactions'!B35="","",IF('Transactions'!F35="",0,'Transactions'!F35))</x:f>
      </x:c>
      <x:c r="G35" s="30" t="str">
        <x:f>IF('Transactions'!B35="","",'Transactions'!G35)</x:f>
      </x:c>
      <x:c r="H35" s="30" t="str">
        <x:f>IF('Transactions'!B35="","",'Transactions'!H35)</x:f>
      </x:c>
      <x:c r="I35" s="32" t="str">
        <x:f>IF(B35="","",IF(COUNTIFS('Anomalies'!$C$19:$C$23,B35,'Anomalies'!$D$19:$D$23,"Quantite",'Anomalies'!$F$19:$F$23,"OUI")=1,SUMIFS('Anomalies'!$E$19:$E$23,'Anomalies'!$C$19:$C$23,B35,'Anomalies'!$D$19:$D$23,"Quantite",'Anomalies'!$F$19:$F$23,"OUI"),'Transactions'!I35))</x:f>
      </x:c>
      <x:c r="J35" s="32" t="str">
        <x:f>IF('Transactions'!B35="","",'Transactions'!J35)</x:f>
      </x:c>
      <x:c r="K35" s="32" t="str">
        <x:f>IF('Transactions'!B35="","",'Transactions'!K35)</x:f>
      </x:c>
      <x:c r="L35" s="30" t="n">
        <x:f>IF(B35="",0,IF(COUNTIFS('Anomalies'!$C$19:$C$23,B35,'Anomalies'!$D$19:$D$23,"Exclure",'Anomalies'!$F$19:$F$23,"OUI")&gt;0,0,1))</x:f>
        <x:v>0</x:v>
      </x:c>
      <x:c r="M35" s="30" t="str">
        <x:f>IF(B35="","",IF(H35="ACHAT",I35,-I35)*L35)</x:f>
      </x:c>
      <x:c r="N35" s="32" t="str">
        <x:f>IF(B35="","",ROUND(IF(H35="ACHAT",-I35*J35-K35,I35*J35-K35)*L35,2))</x:f>
      </x:c>
      <x:c r="O35" s="30" t="str">
        <x:f>IF(B35="","",COUNTIFS($C$7:$C$76,C35,$L$7:$L$76,1))</x:f>
      </x:c>
      <x:c r="P35" s="30" t="n">
        <x:f>IF(OR(B35="",L35=0),0,IF(AND(COUNTIFS($B$7:$B$76,B35,$L$7:$L$76,1)=1,C35&lt;&gt;"",'Transactions'!L35="EUR",ISNUMBER(D35),D35&gt;0,ISNUMBER(E35),E35&gt;=D35,OR(F35=0,AND(ISNUMBER(F35),F35&gt;=D35)),COUNTIFS('Marché'!$J$7:$J$11,G35)=1,OR(H35="ACHAT",H35="VENTE"),ISNUMBER(I35),I35&gt;0,ISNUMBER(J35),J35&gt;0,ISNUMBER(K35),K35&gt;=0),0,1))</x:f>
        <x:v>0</x:v>
      </x:c>
      <x:c r="Q35" s="30" t="n">
        <x:f>IF(OR(B35="",L35=0),0,IF(COUNTIFS('Dépositaire'!$C$7:$C$66,C35)=1,0,1))</x:f>
        <x:v>0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30" t="str">
        <x:f>IF('Transactions'!B36="","",'Transactions'!B36)</x:f>
      </x:c>
      <x:c r="C36" s="30" t="str">
        <x:f>IF('Transactions'!B36="","",'Transactions'!C36)</x:f>
      </x:c>
      <x:c r="D36" s="31" t="str">
        <x:f>IF('Transactions'!B36="","",'Transactions'!D36)</x:f>
      </x:c>
      <x:c r="E36" s="31" t="str">
        <x:f>IF('Transactions'!B36="","",'Transactions'!E36)</x:f>
      </x:c>
      <x:c r="F36" s="31" t="str">
        <x:f>IF('Transactions'!B36="","",IF('Transactions'!F36="",0,'Transactions'!F36))</x:f>
      </x:c>
      <x:c r="G36" s="30" t="str">
        <x:f>IF('Transactions'!B36="","",'Transactions'!G36)</x:f>
      </x:c>
      <x:c r="H36" s="30" t="str">
        <x:f>IF('Transactions'!B36="","",'Transactions'!H36)</x:f>
      </x:c>
      <x:c r="I36" s="32" t="str">
        <x:f>IF(B36="","",IF(COUNTIFS('Anomalies'!$C$19:$C$23,B36,'Anomalies'!$D$19:$D$23,"Quantite",'Anomalies'!$F$19:$F$23,"OUI")=1,SUMIFS('Anomalies'!$E$19:$E$23,'Anomalies'!$C$19:$C$23,B36,'Anomalies'!$D$19:$D$23,"Quantite",'Anomalies'!$F$19:$F$23,"OUI"),'Transactions'!I36))</x:f>
      </x:c>
      <x:c r="J36" s="32" t="str">
        <x:f>IF('Transactions'!B36="","",'Transactions'!J36)</x:f>
      </x:c>
      <x:c r="K36" s="32" t="str">
        <x:f>IF('Transactions'!B36="","",'Transactions'!K36)</x:f>
      </x:c>
      <x:c r="L36" s="30" t="n">
        <x:f>IF(B36="",0,IF(COUNTIFS('Anomalies'!$C$19:$C$23,B36,'Anomalies'!$D$19:$D$23,"Exclure",'Anomalies'!$F$19:$F$23,"OUI")&gt;0,0,1))</x:f>
        <x:v>0</x:v>
      </x:c>
      <x:c r="M36" s="30" t="str">
        <x:f>IF(B36="","",IF(H36="ACHAT",I36,-I36)*L36)</x:f>
      </x:c>
      <x:c r="N36" s="32" t="str">
        <x:f>IF(B36="","",ROUND(IF(H36="ACHAT",-I36*J36-K36,I36*J36-K36)*L36,2))</x:f>
      </x:c>
      <x:c r="O36" s="30" t="str">
        <x:f>IF(B36="","",COUNTIFS($C$7:$C$76,C36,$L$7:$L$76,1))</x:f>
      </x:c>
      <x:c r="P36" s="30" t="n">
        <x:f>IF(OR(B36="",L36=0),0,IF(AND(COUNTIFS($B$7:$B$76,B36,$L$7:$L$76,1)=1,C36&lt;&gt;"",'Transactions'!L36="EUR",ISNUMBER(D36),D36&gt;0,ISNUMBER(E36),E36&gt;=D36,OR(F36=0,AND(ISNUMBER(F36),F36&gt;=D36)),COUNTIFS('Marché'!$J$7:$J$11,G36)=1,OR(H36="ACHAT",H36="VENTE"),ISNUMBER(I36),I36&gt;0,ISNUMBER(J36),J36&gt;0,ISNUMBER(K36),K36&gt;=0),0,1))</x:f>
        <x:v>0</x:v>
      </x:c>
      <x:c r="Q36" s="30" t="n">
        <x:f>IF(OR(B36="",L36=0),0,IF(COUNTIFS('Dépositaire'!$C$7:$C$66,C36)=1,0,1))</x:f>
        <x:v>0</x:v>
      </x:c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30" t="str">
        <x:f>IF('Transactions'!B37="","",'Transactions'!B37)</x:f>
      </x:c>
      <x:c r="C37" s="30" t="str">
        <x:f>IF('Transactions'!B37="","",'Transactions'!C37)</x:f>
      </x:c>
      <x:c r="D37" s="31" t="str">
        <x:f>IF('Transactions'!B37="","",'Transactions'!D37)</x:f>
      </x:c>
      <x:c r="E37" s="31" t="str">
        <x:f>IF('Transactions'!B37="","",'Transactions'!E37)</x:f>
      </x:c>
      <x:c r="F37" s="31" t="str">
        <x:f>IF('Transactions'!B37="","",IF('Transactions'!F37="",0,'Transactions'!F37))</x:f>
      </x:c>
      <x:c r="G37" s="30" t="str">
        <x:f>IF('Transactions'!B37="","",'Transactions'!G37)</x:f>
      </x:c>
      <x:c r="H37" s="30" t="str">
        <x:f>IF('Transactions'!B37="","",'Transactions'!H37)</x:f>
      </x:c>
      <x:c r="I37" s="32" t="str">
        <x:f>IF(B37="","",IF(COUNTIFS('Anomalies'!$C$19:$C$23,B37,'Anomalies'!$D$19:$D$23,"Quantite",'Anomalies'!$F$19:$F$23,"OUI")=1,SUMIFS('Anomalies'!$E$19:$E$23,'Anomalies'!$C$19:$C$23,B37,'Anomalies'!$D$19:$D$23,"Quantite",'Anomalies'!$F$19:$F$23,"OUI"),'Transactions'!I37))</x:f>
      </x:c>
      <x:c r="J37" s="32" t="str">
        <x:f>IF('Transactions'!B37="","",'Transactions'!J37)</x:f>
      </x:c>
      <x:c r="K37" s="32" t="str">
        <x:f>IF('Transactions'!B37="","",'Transactions'!K37)</x:f>
      </x:c>
      <x:c r="L37" s="30" t="n">
        <x:f>IF(B37="",0,IF(COUNTIFS('Anomalies'!$C$19:$C$23,B37,'Anomalies'!$D$19:$D$23,"Exclure",'Anomalies'!$F$19:$F$23,"OUI")&gt;0,0,1))</x:f>
        <x:v>0</x:v>
      </x:c>
      <x:c r="M37" s="30" t="str">
        <x:f>IF(B37="","",IF(H37="ACHAT",I37,-I37)*L37)</x:f>
      </x:c>
      <x:c r="N37" s="32" t="str">
        <x:f>IF(B37="","",ROUND(IF(H37="ACHAT",-I37*J37-K37,I37*J37-K37)*L37,2))</x:f>
      </x:c>
      <x:c r="O37" s="30" t="str">
        <x:f>IF(B37="","",COUNTIFS($C$7:$C$76,C37,$L$7:$L$76,1))</x:f>
      </x:c>
      <x:c r="P37" s="30" t="n">
        <x:f>IF(OR(B37="",L37=0),0,IF(AND(COUNTIFS($B$7:$B$76,B37,$L$7:$L$76,1)=1,C37&lt;&gt;"",'Transactions'!L37="EUR",ISNUMBER(D37),D37&gt;0,ISNUMBER(E37),E37&gt;=D37,OR(F37=0,AND(ISNUMBER(F37),F37&gt;=D37)),COUNTIFS('Marché'!$J$7:$J$11,G37)=1,OR(H37="ACHAT",H37="VENTE"),ISNUMBER(I37),I37&gt;0,ISNUMBER(J37),J37&gt;0,ISNUMBER(K37),K37&gt;=0),0,1))</x:f>
        <x:v>0</x:v>
      </x:c>
      <x:c r="Q37" s="30" t="n">
        <x:f>IF(OR(B37="",L37=0),0,IF(COUNTIFS('Dépositaire'!$C$7:$C$66,C37)=1,0,1))</x:f>
        <x:v>0</x:v>
      </x:c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30" t="str">
        <x:f>IF('Transactions'!B38="","",'Transactions'!B38)</x:f>
      </x:c>
      <x:c r="C38" s="30" t="str">
        <x:f>IF('Transactions'!B38="","",'Transactions'!C38)</x:f>
      </x:c>
      <x:c r="D38" s="31" t="str">
        <x:f>IF('Transactions'!B38="","",'Transactions'!D38)</x:f>
      </x:c>
      <x:c r="E38" s="31" t="str">
        <x:f>IF('Transactions'!B38="","",'Transactions'!E38)</x:f>
      </x:c>
      <x:c r="F38" s="31" t="str">
        <x:f>IF('Transactions'!B38="","",IF('Transactions'!F38="",0,'Transactions'!F38))</x:f>
      </x:c>
      <x:c r="G38" s="30" t="str">
        <x:f>IF('Transactions'!B38="","",'Transactions'!G38)</x:f>
      </x:c>
      <x:c r="H38" s="30" t="str">
        <x:f>IF('Transactions'!B38="","",'Transactions'!H38)</x:f>
      </x:c>
      <x:c r="I38" s="32" t="str">
        <x:f>IF(B38="","",IF(COUNTIFS('Anomalies'!$C$19:$C$23,B38,'Anomalies'!$D$19:$D$23,"Quantite",'Anomalies'!$F$19:$F$23,"OUI")=1,SUMIFS('Anomalies'!$E$19:$E$23,'Anomalies'!$C$19:$C$23,B38,'Anomalies'!$D$19:$D$23,"Quantite",'Anomalies'!$F$19:$F$23,"OUI"),'Transactions'!I38))</x:f>
      </x:c>
      <x:c r="J38" s="32" t="str">
        <x:f>IF('Transactions'!B38="","",'Transactions'!J38)</x:f>
      </x:c>
      <x:c r="K38" s="32" t="str">
        <x:f>IF('Transactions'!B38="","",'Transactions'!K38)</x:f>
      </x:c>
      <x:c r="L38" s="30" t="n">
        <x:f>IF(B38="",0,IF(COUNTIFS('Anomalies'!$C$19:$C$23,B38,'Anomalies'!$D$19:$D$23,"Exclure",'Anomalies'!$F$19:$F$23,"OUI")&gt;0,0,1))</x:f>
        <x:v>0</x:v>
      </x:c>
      <x:c r="M38" s="30" t="str">
        <x:f>IF(B38="","",IF(H38="ACHAT",I38,-I38)*L38)</x:f>
      </x:c>
      <x:c r="N38" s="32" t="str">
        <x:f>IF(B38="","",ROUND(IF(H38="ACHAT",-I38*J38-K38,I38*J38-K38)*L38,2))</x:f>
      </x:c>
      <x:c r="O38" s="30" t="str">
        <x:f>IF(B38="","",COUNTIFS($C$7:$C$76,C38,$L$7:$L$76,1))</x:f>
      </x:c>
      <x:c r="P38" s="30" t="n">
        <x:f>IF(OR(B38="",L38=0),0,IF(AND(COUNTIFS($B$7:$B$76,B38,$L$7:$L$76,1)=1,C38&lt;&gt;"",'Transactions'!L38="EUR",ISNUMBER(D38),D38&gt;0,ISNUMBER(E38),E38&gt;=D38,OR(F38=0,AND(ISNUMBER(F38),F38&gt;=D38)),COUNTIFS('Marché'!$J$7:$J$11,G38)=1,OR(H38="ACHAT",H38="VENTE"),ISNUMBER(I38),I38&gt;0,ISNUMBER(J38),J38&gt;0,ISNUMBER(K38),K38&gt;=0),0,1))</x:f>
        <x:v>0</x:v>
      </x:c>
      <x:c r="Q38" s="30" t="n">
        <x:f>IF(OR(B38="",L38=0),0,IF(COUNTIFS('Dépositaire'!$C$7:$C$66,C38)=1,0,1))</x:f>
        <x:v>0</x:v>
      </x:c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30" t="str">
        <x:f>IF('Transactions'!B39="","",'Transactions'!B39)</x:f>
      </x:c>
      <x:c r="C39" s="30" t="str">
        <x:f>IF('Transactions'!B39="","",'Transactions'!C39)</x:f>
      </x:c>
      <x:c r="D39" s="31" t="str">
        <x:f>IF('Transactions'!B39="","",'Transactions'!D39)</x:f>
      </x:c>
      <x:c r="E39" s="31" t="str">
        <x:f>IF('Transactions'!B39="","",'Transactions'!E39)</x:f>
      </x:c>
      <x:c r="F39" s="31" t="str">
        <x:f>IF('Transactions'!B39="","",IF('Transactions'!F39="",0,'Transactions'!F39))</x:f>
      </x:c>
      <x:c r="G39" s="30" t="str">
        <x:f>IF('Transactions'!B39="","",'Transactions'!G39)</x:f>
      </x:c>
      <x:c r="H39" s="30" t="str">
        <x:f>IF('Transactions'!B39="","",'Transactions'!H39)</x:f>
      </x:c>
      <x:c r="I39" s="32" t="str">
        <x:f>IF(B39="","",IF(COUNTIFS('Anomalies'!$C$19:$C$23,B39,'Anomalies'!$D$19:$D$23,"Quantite",'Anomalies'!$F$19:$F$23,"OUI")=1,SUMIFS('Anomalies'!$E$19:$E$23,'Anomalies'!$C$19:$C$23,B39,'Anomalies'!$D$19:$D$23,"Quantite",'Anomalies'!$F$19:$F$23,"OUI"),'Transactions'!I39))</x:f>
      </x:c>
      <x:c r="J39" s="32" t="str">
        <x:f>IF('Transactions'!B39="","",'Transactions'!J39)</x:f>
      </x:c>
      <x:c r="K39" s="32" t="str">
        <x:f>IF('Transactions'!B39="","",'Transactions'!K39)</x:f>
      </x:c>
      <x:c r="L39" s="30" t="n">
        <x:f>IF(B39="",0,IF(COUNTIFS('Anomalies'!$C$19:$C$23,B39,'Anomalies'!$D$19:$D$23,"Exclure",'Anomalies'!$F$19:$F$23,"OUI")&gt;0,0,1))</x:f>
        <x:v>0</x:v>
      </x:c>
      <x:c r="M39" s="30" t="str">
        <x:f>IF(B39="","",IF(H39="ACHAT",I39,-I39)*L39)</x:f>
      </x:c>
      <x:c r="N39" s="32" t="str">
        <x:f>IF(B39="","",ROUND(IF(H39="ACHAT",-I39*J39-K39,I39*J39-K39)*L39,2))</x:f>
      </x:c>
      <x:c r="O39" s="30" t="str">
        <x:f>IF(B39="","",COUNTIFS($C$7:$C$76,C39,$L$7:$L$76,1))</x:f>
      </x:c>
      <x:c r="P39" s="30" t="n">
        <x:f>IF(OR(B39="",L39=0),0,IF(AND(COUNTIFS($B$7:$B$76,B39,$L$7:$L$76,1)=1,C39&lt;&gt;"",'Transactions'!L39="EUR",ISNUMBER(D39),D39&gt;0,ISNUMBER(E39),E39&gt;=D39,OR(F39=0,AND(ISNUMBER(F39),F39&gt;=D39)),COUNTIFS('Marché'!$J$7:$J$11,G39)=1,OR(H39="ACHAT",H39="VENTE"),ISNUMBER(I39),I39&gt;0,ISNUMBER(J39),J39&gt;0,ISNUMBER(K39),K39&gt;=0),0,1))</x:f>
        <x:v>0</x:v>
      </x:c>
      <x:c r="Q39" s="30" t="n">
        <x:f>IF(OR(B39="",L39=0),0,IF(COUNTIFS('Dépositaire'!$C$7:$C$66,C39)=1,0,1))</x:f>
        <x:v>0</x:v>
      </x:c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30" t="str">
        <x:f>IF('Transactions'!B40="","",'Transactions'!B40)</x:f>
      </x:c>
      <x:c r="C40" s="30" t="str">
        <x:f>IF('Transactions'!B40="","",'Transactions'!C40)</x:f>
      </x:c>
      <x:c r="D40" s="31" t="str">
        <x:f>IF('Transactions'!B40="","",'Transactions'!D40)</x:f>
      </x:c>
      <x:c r="E40" s="31" t="str">
        <x:f>IF('Transactions'!B40="","",'Transactions'!E40)</x:f>
      </x:c>
      <x:c r="F40" s="31" t="str">
        <x:f>IF('Transactions'!B40="","",IF('Transactions'!F40="",0,'Transactions'!F40))</x:f>
      </x:c>
      <x:c r="G40" s="30" t="str">
        <x:f>IF('Transactions'!B40="","",'Transactions'!G40)</x:f>
      </x:c>
      <x:c r="H40" s="30" t="str">
        <x:f>IF('Transactions'!B40="","",'Transactions'!H40)</x:f>
      </x:c>
      <x:c r="I40" s="32" t="str">
        <x:f>IF(B40="","",IF(COUNTIFS('Anomalies'!$C$19:$C$23,B40,'Anomalies'!$D$19:$D$23,"Quantite",'Anomalies'!$F$19:$F$23,"OUI")=1,SUMIFS('Anomalies'!$E$19:$E$23,'Anomalies'!$C$19:$C$23,B40,'Anomalies'!$D$19:$D$23,"Quantite",'Anomalies'!$F$19:$F$23,"OUI"),'Transactions'!I40))</x:f>
      </x:c>
      <x:c r="J40" s="32" t="str">
        <x:f>IF('Transactions'!B40="","",'Transactions'!J40)</x:f>
      </x:c>
      <x:c r="K40" s="32" t="str">
        <x:f>IF('Transactions'!B40="","",'Transactions'!K40)</x:f>
      </x:c>
      <x:c r="L40" s="30" t="n">
        <x:f>IF(B40="",0,IF(COUNTIFS('Anomalies'!$C$19:$C$23,B40,'Anomalies'!$D$19:$D$23,"Exclure",'Anomalies'!$F$19:$F$23,"OUI")&gt;0,0,1))</x:f>
        <x:v>0</x:v>
      </x:c>
      <x:c r="M40" s="30" t="str">
        <x:f>IF(B40="","",IF(H40="ACHAT",I40,-I40)*L40)</x:f>
      </x:c>
      <x:c r="N40" s="32" t="str">
        <x:f>IF(B40="","",ROUND(IF(H40="ACHAT",-I40*J40-K40,I40*J40-K40)*L40,2))</x:f>
      </x:c>
      <x:c r="O40" s="30" t="str">
        <x:f>IF(B40="","",COUNTIFS($C$7:$C$76,C40,$L$7:$L$76,1))</x:f>
      </x:c>
      <x:c r="P40" s="30" t="n">
        <x:f>IF(OR(B40="",L40=0),0,IF(AND(COUNTIFS($B$7:$B$76,B40,$L$7:$L$76,1)=1,C40&lt;&gt;"",'Transactions'!L40="EUR",ISNUMBER(D40),D40&gt;0,ISNUMBER(E40),E40&gt;=D40,OR(F40=0,AND(ISNUMBER(F40),F40&gt;=D40)),COUNTIFS('Marché'!$J$7:$J$11,G40)=1,OR(H40="ACHAT",H40="VENTE"),ISNUMBER(I40),I40&gt;0,ISNUMBER(J40),J40&gt;0,ISNUMBER(K40),K40&gt;=0),0,1))</x:f>
        <x:v>0</x:v>
      </x:c>
      <x:c r="Q40" s="30" t="n">
        <x:f>IF(OR(B40="",L40=0),0,IF(COUNTIFS('Dépositaire'!$C$7:$C$66,C40)=1,0,1))</x:f>
        <x:v>0</x:v>
      </x:c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30" t="str">
        <x:f>IF('Transactions'!B41="","",'Transactions'!B41)</x:f>
      </x:c>
      <x:c r="C41" s="30" t="str">
        <x:f>IF('Transactions'!B41="","",'Transactions'!C41)</x:f>
      </x:c>
      <x:c r="D41" s="31" t="str">
        <x:f>IF('Transactions'!B41="","",'Transactions'!D41)</x:f>
      </x:c>
      <x:c r="E41" s="31" t="str">
        <x:f>IF('Transactions'!B41="","",'Transactions'!E41)</x:f>
      </x:c>
      <x:c r="F41" s="31" t="str">
        <x:f>IF('Transactions'!B41="","",IF('Transactions'!F41="",0,'Transactions'!F41))</x:f>
      </x:c>
      <x:c r="G41" s="30" t="str">
        <x:f>IF('Transactions'!B41="","",'Transactions'!G41)</x:f>
      </x:c>
      <x:c r="H41" s="30" t="str">
        <x:f>IF('Transactions'!B41="","",'Transactions'!H41)</x:f>
      </x:c>
      <x:c r="I41" s="32" t="str">
        <x:f>IF(B41="","",IF(COUNTIFS('Anomalies'!$C$19:$C$23,B41,'Anomalies'!$D$19:$D$23,"Quantite",'Anomalies'!$F$19:$F$23,"OUI")=1,SUMIFS('Anomalies'!$E$19:$E$23,'Anomalies'!$C$19:$C$23,B41,'Anomalies'!$D$19:$D$23,"Quantite",'Anomalies'!$F$19:$F$23,"OUI"),'Transactions'!I41))</x:f>
      </x:c>
      <x:c r="J41" s="32" t="str">
        <x:f>IF('Transactions'!B41="","",'Transactions'!J41)</x:f>
      </x:c>
      <x:c r="K41" s="32" t="str">
        <x:f>IF('Transactions'!B41="","",'Transactions'!K41)</x:f>
      </x:c>
      <x:c r="L41" s="30" t="n">
        <x:f>IF(B41="",0,IF(COUNTIFS('Anomalies'!$C$19:$C$23,B41,'Anomalies'!$D$19:$D$23,"Exclure",'Anomalies'!$F$19:$F$23,"OUI")&gt;0,0,1))</x:f>
        <x:v>0</x:v>
      </x:c>
      <x:c r="M41" s="30" t="str">
        <x:f>IF(B41="","",IF(H41="ACHAT",I41,-I41)*L41)</x:f>
      </x:c>
      <x:c r="N41" s="32" t="str">
        <x:f>IF(B41="","",ROUND(IF(H41="ACHAT",-I41*J41-K41,I41*J41-K41)*L41,2))</x:f>
      </x:c>
      <x:c r="O41" s="30" t="str">
        <x:f>IF(B41="","",COUNTIFS($C$7:$C$76,C41,$L$7:$L$76,1))</x:f>
      </x:c>
      <x:c r="P41" s="30" t="n">
        <x:f>IF(OR(B41="",L41=0),0,IF(AND(COUNTIFS($B$7:$B$76,B41,$L$7:$L$76,1)=1,C41&lt;&gt;"",'Transactions'!L41="EUR",ISNUMBER(D41),D41&gt;0,ISNUMBER(E41),E41&gt;=D41,OR(F41=0,AND(ISNUMBER(F41),F41&gt;=D41)),COUNTIFS('Marché'!$J$7:$J$11,G41)=1,OR(H41="ACHAT",H41="VENTE"),ISNUMBER(I41),I41&gt;0,ISNUMBER(J41),J41&gt;0,ISNUMBER(K41),K41&gt;=0),0,1))</x:f>
        <x:v>0</x:v>
      </x:c>
      <x:c r="Q41" s="30" t="n">
        <x:f>IF(OR(B41="",L41=0),0,IF(COUNTIFS('Dépositaire'!$C$7:$C$66,C41)=1,0,1))</x:f>
        <x:v>0</x:v>
      </x:c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30" t="str">
        <x:f>IF('Transactions'!B42="","",'Transactions'!B42)</x:f>
      </x:c>
      <x:c r="C42" s="30" t="str">
        <x:f>IF('Transactions'!B42="","",'Transactions'!C42)</x:f>
      </x:c>
      <x:c r="D42" s="31" t="str">
        <x:f>IF('Transactions'!B42="","",'Transactions'!D42)</x:f>
      </x:c>
      <x:c r="E42" s="31" t="str">
        <x:f>IF('Transactions'!B42="","",'Transactions'!E42)</x:f>
      </x:c>
      <x:c r="F42" s="31" t="str">
        <x:f>IF('Transactions'!B42="","",IF('Transactions'!F42="",0,'Transactions'!F42))</x:f>
      </x:c>
      <x:c r="G42" s="30" t="str">
        <x:f>IF('Transactions'!B42="","",'Transactions'!G42)</x:f>
      </x:c>
      <x:c r="H42" s="30" t="str">
        <x:f>IF('Transactions'!B42="","",'Transactions'!H42)</x:f>
      </x:c>
      <x:c r="I42" s="32" t="str">
        <x:f>IF(B42="","",IF(COUNTIFS('Anomalies'!$C$19:$C$23,B42,'Anomalies'!$D$19:$D$23,"Quantite",'Anomalies'!$F$19:$F$23,"OUI")=1,SUMIFS('Anomalies'!$E$19:$E$23,'Anomalies'!$C$19:$C$23,B42,'Anomalies'!$D$19:$D$23,"Quantite",'Anomalies'!$F$19:$F$23,"OUI"),'Transactions'!I42))</x:f>
      </x:c>
      <x:c r="J42" s="32" t="str">
        <x:f>IF('Transactions'!B42="","",'Transactions'!J42)</x:f>
      </x:c>
      <x:c r="K42" s="32" t="str">
        <x:f>IF('Transactions'!B42="","",'Transactions'!K42)</x:f>
      </x:c>
      <x:c r="L42" s="30" t="n">
        <x:f>IF(B42="",0,IF(COUNTIFS('Anomalies'!$C$19:$C$23,B42,'Anomalies'!$D$19:$D$23,"Exclure",'Anomalies'!$F$19:$F$23,"OUI")&gt;0,0,1))</x:f>
        <x:v>0</x:v>
      </x:c>
      <x:c r="M42" s="30" t="str">
        <x:f>IF(B42="","",IF(H42="ACHAT",I42,-I42)*L42)</x:f>
      </x:c>
      <x:c r="N42" s="32" t="str">
        <x:f>IF(B42="","",ROUND(IF(H42="ACHAT",-I42*J42-K42,I42*J42-K42)*L42,2))</x:f>
      </x:c>
      <x:c r="O42" s="30" t="str">
        <x:f>IF(B42="","",COUNTIFS($C$7:$C$76,C42,$L$7:$L$76,1))</x:f>
      </x:c>
      <x:c r="P42" s="30" t="n">
        <x:f>IF(OR(B42="",L42=0),0,IF(AND(COUNTIFS($B$7:$B$76,B42,$L$7:$L$76,1)=1,C42&lt;&gt;"",'Transactions'!L42="EUR",ISNUMBER(D42),D42&gt;0,ISNUMBER(E42),E42&gt;=D42,OR(F42=0,AND(ISNUMBER(F42),F42&gt;=D42)),COUNTIFS('Marché'!$J$7:$J$11,G42)=1,OR(H42="ACHAT",H42="VENTE"),ISNUMBER(I42),I42&gt;0,ISNUMBER(J42),J42&gt;0,ISNUMBER(K42),K42&gt;=0),0,1))</x:f>
        <x:v>0</x:v>
      </x:c>
      <x:c r="Q42" s="30" t="n">
        <x:f>IF(OR(B42="",L42=0),0,IF(COUNTIFS('Dépositaire'!$C$7:$C$66,C42)=1,0,1))</x:f>
        <x:v>0</x:v>
      </x:c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30" t="str">
        <x:f>IF('Transactions'!B43="","",'Transactions'!B43)</x:f>
      </x:c>
      <x:c r="C43" s="30" t="str">
        <x:f>IF('Transactions'!B43="","",'Transactions'!C43)</x:f>
      </x:c>
      <x:c r="D43" s="31" t="str">
        <x:f>IF('Transactions'!B43="","",'Transactions'!D43)</x:f>
      </x:c>
      <x:c r="E43" s="31" t="str">
        <x:f>IF('Transactions'!B43="","",'Transactions'!E43)</x:f>
      </x:c>
      <x:c r="F43" s="31" t="str">
        <x:f>IF('Transactions'!B43="","",IF('Transactions'!F43="",0,'Transactions'!F43))</x:f>
      </x:c>
      <x:c r="G43" s="30" t="str">
        <x:f>IF('Transactions'!B43="","",'Transactions'!G43)</x:f>
      </x:c>
      <x:c r="H43" s="30" t="str">
        <x:f>IF('Transactions'!B43="","",'Transactions'!H43)</x:f>
      </x:c>
      <x:c r="I43" s="32" t="str">
        <x:f>IF(B43="","",IF(COUNTIFS('Anomalies'!$C$19:$C$23,B43,'Anomalies'!$D$19:$D$23,"Quantite",'Anomalies'!$F$19:$F$23,"OUI")=1,SUMIFS('Anomalies'!$E$19:$E$23,'Anomalies'!$C$19:$C$23,B43,'Anomalies'!$D$19:$D$23,"Quantite",'Anomalies'!$F$19:$F$23,"OUI"),'Transactions'!I43))</x:f>
      </x:c>
      <x:c r="J43" s="32" t="str">
        <x:f>IF('Transactions'!B43="","",'Transactions'!J43)</x:f>
      </x:c>
      <x:c r="K43" s="32" t="str">
        <x:f>IF('Transactions'!B43="","",'Transactions'!K43)</x:f>
      </x:c>
      <x:c r="L43" s="30" t="n">
        <x:f>IF(B43="",0,IF(COUNTIFS('Anomalies'!$C$19:$C$23,B43,'Anomalies'!$D$19:$D$23,"Exclure",'Anomalies'!$F$19:$F$23,"OUI")&gt;0,0,1))</x:f>
        <x:v>0</x:v>
      </x:c>
      <x:c r="M43" s="30" t="str">
        <x:f>IF(B43="","",IF(H43="ACHAT",I43,-I43)*L43)</x:f>
      </x:c>
      <x:c r="N43" s="32" t="str">
        <x:f>IF(B43="","",ROUND(IF(H43="ACHAT",-I43*J43-K43,I43*J43-K43)*L43,2))</x:f>
      </x:c>
      <x:c r="O43" s="30" t="str">
        <x:f>IF(B43="","",COUNTIFS($C$7:$C$76,C43,$L$7:$L$76,1))</x:f>
      </x:c>
      <x:c r="P43" s="30" t="n">
        <x:f>IF(OR(B43="",L43=0),0,IF(AND(COUNTIFS($B$7:$B$76,B43,$L$7:$L$76,1)=1,C43&lt;&gt;"",'Transactions'!L43="EUR",ISNUMBER(D43),D43&gt;0,ISNUMBER(E43),E43&gt;=D43,OR(F43=0,AND(ISNUMBER(F43),F43&gt;=D43)),COUNTIFS('Marché'!$J$7:$J$11,G43)=1,OR(H43="ACHAT",H43="VENTE"),ISNUMBER(I43),I43&gt;0,ISNUMBER(J43),J43&gt;0,ISNUMBER(K43),K43&gt;=0),0,1))</x:f>
        <x:v>0</x:v>
      </x:c>
      <x:c r="Q43" s="30" t="n">
        <x:f>IF(OR(B43="",L43=0),0,IF(COUNTIFS('Dépositaire'!$C$7:$C$66,C43)=1,0,1))</x:f>
        <x:v>0</x:v>
      </x:c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30" t="str">
        <x:f>IF('Transactions'!B44="","",'Transactions'!B44)</x:f>
      </x:c>
      <x:c r="C44" s="30" t="str">
        <x:f>IF('Transactions'!B44="","",'Transactions'!C44)</x:f>
      </x:c>
      <x:c r="D44" s="31" t="str">
        <x:f>IF('Transactions'!B44="","",'Transactions'!D44)</x:f>
      </x:c>
      <x:c r="E44" s="31" t="str">
        <x:f>IF('Transactions'!B44="","",'Transactions'!E44)</x:f>
      </x:c>
      <x:c r="F44" s="31" t="str">
        <x:f>IF('Transactions'!B44="","",IF('Transactions'!F44="",0,'Transactions'!F44))</x:f>
      </x:c>
      <x:c r="G44" s="30" t="str">
        <x:f>IF('Transactions'!B44="","",'Transactions'!G44)</x:f>
      </x:c>
      <x:c r="H44" s="30" t="str">
        <x:f>IF('Transactions'!B44="","",'Transactions'!H44)</x:f>
      </x:c>
      <x:c r="I44" s="32" t="str">
        <x:f>IF(B44="","",IF(COUNTIFS('Anomalies'!$C$19:$C$23,B44,'Anomalies'!$D$19:$D$23,"Quantite",'Anomalies'!$F$19:$F$23,"OUI")=1,SUMIFS('Anomalies'!$E$19:$E$23,'Anomalies'!$C$19:$C$23,B44,'Anomalies'!$D$19:$D$23,"Quantite",'Anomalies'!$F$19:$F$23,"OUI"),'Transactions'!I44))</x:f>
      </x:c>
      <x:c r="J44" s="32" t="str">
        <x:f>IF('Transactions'!B44="","",'Transactions'!J44)</x:f>
      </x:c>
      <x:c r="K44" s="32" t="str">
        <x:f>IF('Transactions'!B44="","",'Transactions'!K44)</x:f>
      </x:c>
      <x:c r="L44" s="30" t="n">
        <x:f>IF(B44="",0,IF(COUNTIFS('Anomalies'!$C$19:$C$23,B44,'Anomalies'!$D$19:$D$23,"Exclure",'Anomalies'!$F$19:$F$23,"OUI")&gt;0,0,1))</x:f>
        <x:v>0</x:v>
      </x:c>
      <x:c r="M44" s="30" t="str">
        <x:f>IF(B44="","",IF(H44="ACHAT",I44,-I44)*L44)</x:f>
      </x:c>
      <x:c r="N44" s="32" t="str">
        <x:f>IF(B44="","",ROUND(IF(H44="ACHAT",-I44*J44-K44,I44*J44-K44)*L44,2))</x:f>
      </x:c>
      <x:c r="O44" s="30" t="str">
        <x:f>IF(B44="","",COUNTIFS($C$7:$C$76,C44,$L$7:$L$76,1))</x:f>
      </x:c>
      <x:c r="P44" s="30" t="n">
        <x:f>IF(OR(B44="",L44=0),0,IF(AND(COUNTIFS($B$7:$B$76,B44,$L$7:$L$76,1)=1,C44&lt;&gt;"",'Transactions'!L44="EUR",ISNUMBER(D44),D44&gt;0,ISNUMBER(E44),E44&gt;=D44,OR(F44=0,AND(ISNUMBER(F44),F44&gt;=D44)),COUNTIFS('Marché'!$J$7:$J$11,G44)=1,OR(H44="ACHAT",H44="VENTE"),ISNUMBER(I44),I44&gt;0,ISNUMBER(J44),J44&gt;0,ISNUMBER(K44),K44&gt;=0),0,1))</x:f>
        <x:v>0</x:v>
      </x:c>
      <x:c r="Q44" s="30" t="n">
        <x:f>IF(OR(B44="",L44=0),0,IF(COUNTIFS('Dépositaire'!$C$7:$C$66,C44)=1,0,1))</x:f>
        <x:v>0</x:v>
      </x:c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30" t="str">
        <x:f>IF('Transactions'!B45="","",'Transactions'!B45)</x:f>
      </x:c>
      <x:c r="C45" s="30" t="str">
        <x:f>IF('Transactions'!B45="","",'Transactions'!C45)</x:f>
      </x:c>
      <x:c r="D45" s="31" t="str">
        <x:f>IF('Transactions'!B45="","",'Transactions'!D45)</x:f>
      </x:c>
      <x:c r="E45" s="31" t="str">
        <x:f>IF('Transactions'!B45="","",'Transactions'!E45)</x:f>
      </x:c>
      <x:c r="F45" s="31" t="str">
        <x:f>IF('Transactions'!B45="","",IF('Transactions'!F45="",0,'Transactions'!F45))</x:f>
      </x:c>
      <x:c r="G45" s="30" t="str">
        <x:f>IF('Transactions'!B45="","",'Transactions'!G45)</x:f>
      </x:c>
      <x:c r="H45" s="30" t="str">
        <x:f>IF('Transactions'!B45="","",'Transactions'!H45)</x:f>
      </x:c>
      <x:c r="I45" s="32" t="str">
        <x:f>IF(B45="","",IF(COUNTIFS('Anomalies'!$C$19:$C$23,B45,'Anomalies'!$D$19:$D$23,"Quantite",'Anomalies'!$F$19:$F$23,"OUI")=1,SUMIFS('Anomalies'!$E$19:$E$23,'Anomalies'!$C$19:$C$23,B45,'Anomalies'!$D$19:$D$23,"Quantite",'Anomalies'!$F$19:$F$23,"OUI"),'Transactions'!I45))</x:f>
      </x:c>
      <x:c r="J45" s="32" t="str">
        <x:f>IF('Transactions'!B45="","",'Transactions'!J45)</x:f>
      </x:c>
      <x:c r="K45" s="32" t="str">
        <x:f>IF('Transactions'!B45="","",'Transactions'!K45)</x:f>
      </x:c>
      <x:c r="L45" s="30" t="n">
        <x:f>IF(B45="",0,IF(COUNTIFS('Anomalies'!$C$19:$C$23,B45,'Anomalies'!$D$19:$D$23,"Exclure",'Anomalies'!$F$19:$F$23,"OUI")&gt;0,0,1))</x:f>
        <x:v>0</x:v>
      </x:c>
      <x:c r="M45" s="30" t="str">
        <x:f>IF(B45="","",IF(H45="ACHAT",I45,-I45)*L45)</x:f>
      </x:c>
      <x:c r="N45" s="32" t="str">
        <x:f>IF(B45="","",ROUND(IF(H45="ACHAT",-I45*J45-K45,I45*J45-K45)*L45,2))</x:f>
      </x:c>
      <x:c r="O45" s="30" t="str">
        <x:f>IF(B45="","",COUNTIFS($C$7:$C$76,C45,$L$7:$L$76,1))</x:f>
      </x:c>
      <x:c r="P45" s="30" t="n">
        <x:f>IF(OR(B45="",L45=0),0,IF(AND(COUNTIFS($B$7:$B$76,B45,$L$7:$L$76,1)=1,C45&lt;&gt;"",'Transactions'!L45="EUR",ISNUMBER(D45),D45&gt;0,ISNUMBER(E45),E45&gt;=D45,OR(F45=0,AND(ISNUMBER(F45),F45&gt;=D45)),COUNTIFS('Marché'!$J$7:$J$11,G45)=1,OR(H45="ACHAT",H45="VENTE"),ISNUMBER(I45),I45&gt;0,ISNUMBER(J45),J45&gt;0,ISNUMBER(K45),K45&gt;=0),0,1))</x:f>
        <x:v>0</x:v>
      </x:c>
      <x:c r="Q45" s="30" t="n">
        <x:f>IF(OR(B45="",L45=0),0,IF(COUNTIFS('Dépositaire'!$C$7:$C$66,C45)=1,0,1))</x:f>
        <x:v>0</x:v>
      </x:c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30" t="str">
        <x:f>IF('Transactions'!B46="","",'Transactions'!B46)</x:f>
      </x:c>
      <x:c r="C46" s="30" t="str">
        <x:f>IF('Transactions'!B46="","",'Transactions'!C46)</x:f>
      </x:c>
      <x:c r="D46" s="31" t="str">
        <x:f>IF('Transactions'!B46="","",'Transactions'!D46)</x:f>
      </x:c>
      <x:c r="E46" s="31" t="str">
        <x:f>IF('Transactions'!B46="","",'Transactions'!E46)</x:f>
      </x:c>
      <x:c r="F46" s="31" t="str">
        <x:f>IF('Transactions'!B46="","",IF('Transactions'!F46="",0,'Transactions'!F46))</x:f>
      </x:c>
      <x:c r="G46" s="30" t="str">
        <x:f>IF('Transactions'!B46="","",'Transactions'!G46)</x:f>
      </x:c>
      <x:c r="H46" s="30" t="str">
        <x:f>IF('Transactions'!B46="","",'Transactions'!H46)</x:f>
      </x:c>
      <x:c r="I46" s="32" t="str">
        <x:f>IF(B46="","",IF(COUNTIFS('Anomalies'!$C$19:$C$23,B46,'Anomalies'!$D$19:$D$23,"Quantite",'Anomalies'!$F$19:$F$23,"OUI")=1,SUMIFS('Anomalies'!$E$19:$E$23,'Anomalies'!$C$19:$C$23,B46,'Anomalies'!$D$19:$D$23,"Quantite",'Anomalies'!$F$19:$F$23,"OUI"),'Transactions'!I46))</x:f>
      </x:c>
      <x:c r="J46" s="32" t="str">
        <x:f>IF('Transactions'!B46="","",'Transactions'!J46)</x:f>
      </x:c>
      <x:c r="K46" s="32" t="str">
        <x:f>IF('Transactions'!B46="","",'Transactions'!K46)</x:f>
      </x:c>
      <x:c r="L46" s="30" t="n">
        <x:f>IF(B46="",0,IF(COUNTIFS('Anomalies'!$C$19:$C$23,B46,'Anomalies'!$D$19:$D$23,"Exclure",'Anomalies'!$F$19:$F$23,"OUI")&gt;0,0,1))</x:f>
        <x:v>0</x:v>
      </x:c>
      <x:c r="M46" s="30" t="str">
        <x:f>IF(B46="","",IF(H46="ACHAT",I46,-I46)*L46)</x:f>
      </x:c>
      <x:c r="N46" s="32" t="str">
        <x:f>IF(B46="","",ROUND(IF(H46="ACHAT",-I46*J46-K46,I46*J46-K46)*L46,2))</x:f>
      </x:c>
      <x:c r="O46" s="30" t="str">
        <x:f>IF(B46="","",COUNTIFS($C$7:$C$76,C46,$L$7:$L$76,1))</x:f>
      </x:c>
      <x:c r="P46" s="30" t="n">
        <x:f>IF(OR(B46="",L46=0),0,IF(AND(COUNTIFS($B$7:$B$76,B46,$L$7:$L$76,1)=1,C46&lt;&gt;"",'Transactions'!L46="EUR",ISNUMBER(D46),D46&gt;0,ISNUMBER(E46),E46&gt;=D46,OR(F46=0,AND(ISNUMBER(F46),F46&gt;=D46)),COUNTIFS('Marché'!$J$7:$J$11,G46)=1,OR(H46="ACHAT",H46="VENTE"),ISNUMBER(I46),I46&gt;0,ISNUMBER(J46),J46&gt;0,ISNUMBER(K46),K46&gt;=0),0,1))</x:f>
        <x:v>0</x:v>
      </x:c>
      <x:c r="Q46" s="30" t="n">
        <x:f>IF(OR(B46="",L46=0),0,IF(COUNTIFS('Dépositaire'!$C$7:$C$66,C46)=1,0,1))</x:f>
        <x:v>0</x:v>
      </x:c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30" t="str">
        <x:f>IF('Transactions'!B47="","",'Transactions'!B47)</x:f>
      </x:c>
      <x:c r="C47" s="30" t="str">
        <x:f>IF('Transactions'!B47="","",'Transactions'!C47)</x:f>
      </x:c>
      <x:c r="D47" s="31" t="str">
        <x:f>IF('Transactions'!B47="","",'Transactions'!D47)</x:f>
      </x:c>
      <x:c r="E47" s="31" t="str">
        <x:f>IF('Transactions'!B47="","",'Transactions'!E47)</x:f>
      </x:c>
      <x:c r="F47" s="31" t="str">
        <x:f>IF('Transactions'!B47="","",IF('Transactions'!F47="",0,'Transactions'!F47))</x:f>
      </x:c>
      <x:c r="G47" s="30" t="str">
        <x:f>IF('Transactions'!B47="","",'Transactions'!G47)</x:f>
      </x:c>
      <x:c r="H47" s="30" t="str">
        <x:f>IF('Transactions'!B47="","",'Transactions'!H47)</x:f>
      </x:c>
      <x:c r="I47" s="32" t="str">
        <x:f>IF(B47="","",IF(COUNTIFS('Anomalies'!$C$19:$C$23,B47,'Anomalies'!$D$19:$D$23,"Quantite",'Anomalies'!$F$19:$F$23,"OUI")=1,SUMIFS('Anomalies'!$E$19:$E$23,'Anomalies'!$C$19:$C$23,B47,'Anomalies'!$D$19:$D$23,"Quantite",'Anomalies'!$F$19:$F$23,"OUI"),'Transactions'!I47))</x:f>
      </x:c>
      <x:c r="J47" s="32" t="str">
        <x:f>IF('Transactions'!B47="","",'Transactions'!J47)</x:f>
      </x:c>
      <x:c r="K47" s="32" t="str">
        <x:f>IF('Transactions'!B47="","",'Transactions'!K47)</x:f>
      </x:c>
      <x:c r="L47" s="30" t="n">
        <x:f>IF(B47="",0,IF(COUNTIFS('Anomalies'!$C$19:$C$23,B47,'Anomalies'!$D$19:$D$23,"Exclure",'Anomalies'!$F$19:$F$23,"OUI")&gt;0,0,1))</x:f>
        <x:v>0</x:v>
      </x:c>
      <x:c r="M47" s="30" t="str">
        <x:f>IF(B47="","",IF(H47="ACHAT",I47,-I47)*L47)</x:f>
      </x:c>
      <x:c r="N47" s="32" t="str">
        <x:f>IF(B47="","",ROUND(IF(H47="ACHAT",-I47*J47-K47,I47*J47-K47)*L47,2))</x:f>
      </x:c>
      <x:c r="O47" s="30" t="str">
        <x:f>IF(B47="","",COUNTIFS($C$7:$C$76,C47,$L$7:$L$76,1))</x:f>
      </x:c>
      <x:c r="P47" s="30" t="n">
        <x:f>IF(OR(B47="",L47=0),0,IF(AND(COUNTIFS($B$7:$B$76,B47,$L$7:$L$76,1)=1,C47&lt;&gt;"",'Transactions'!L47="EUR",ISNUMBER(D47),D47&gt;0,ISNUMBER(E47),E47&gt;=D47,OR(F47=0,AND(ISNUMBER(F47),F47&gt;=D47)),COUNTIFS('Marché'!$J$7:$J$11,G47)=1,OR(H47="ACHAT",H47="VENTE"),ISNUMBER(I47),I47&gt;0,ISNUMBER(J47),J47&gt;0,ISNUMBER(K47),K47&gt;=0),0,1))</x:f>
        <x:v>0</x:v>
      </x:c>
      <x:c r="Q47" s="30" t="n">
        <x:f>IF(OR(B47="",L47=0),0,IF(COUNTIFS('Dépositaire'!$C$7:$C$66,C47)=1,0,1))</x:f>
        <x:v>0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30" t="str">
        <x:f>IF('Transactions'!B48="","",'Transactions'!B48)</x:f>
      </x:c>
      <x:c r="C48" s="30" t="str">
        <x:f>IF('Transactions'!B48="","",'Transactions'!C48)</x:f>
      </x:c>
      <x:c r="D48" s="31" t="str">
        <x:f>IF('Transactions'!B48="","",'Transactions'!D48)</x:f>
      </x:c>
      <x:c r="E48" s="31" t="str">
        <x:f>IF('Transactions'!B48="","",'Transactions'!E48)</x:f>
      </x:c>
      <x:c r="F48" s="31" t="str">
        <x:f>IF('Transactions'!B48="","",IF('Transactions'!F48="",0,'Transactions'!F48))</x:f>
      </x:c>
      <x:c r="G48" s="30" t="str">
        <x:f>IF('Transactions'!B48="","",'Transactions'!G48)</x:f>
      </x:c>
      <x:c r="H48" s="30" t="str">
        <x:f>IF('Transactions'!B48="","",'Transactions'!H48)</x:f>
      </x:c>
      <x:c r="I48" s="32" t="str">
        <x:f>IF(B48="","",IF(COUNTIFS('Anomalies'!$C$19:$C$23,B48,'Anomalies'!$D$19:$D$23,"Quantite",'Anomalies'!$F$19:$F$23,"OUI")=1,SUMIFS('Anomalies'!$E$19:$E$23,'Anomalies'!$C$19:$C$23,B48,'Anomalies'!$D$19:$D$23,"Quantite",'Anomalies'!$F$19:$F$23,"OUI"),'Transactions'!I48))</x:f>
      </x:c>
      <x:c r="J48" s="32" t="str">
        <x:f>IF('Transactions'!B48="","",'Transactions'!J48)</x:f>
      </x:c>
      <x:c r="K48" s="32" t="str">
        <x:f>IF('Transactions'!B48="","",'Transactions'!K48)</x:f>
      </x:c>
      <x:c r="L48" s="30" t="n">
        <x:f>IF(B48="",0,IF(COUNTIFS('Anomalies'!$C$19:$C$23,B48,'Anomalies'!$D$19:$D$23,"Exclure",'Anomalies'!$F$19:$F$23,"OUI")&gt;0,0,1))</x:f>
        <x:v>0</x:v>
      </x:c>
      <x:c r="M48" s="30" t="str">
        <x:f>IF(B48="","",IF(H48="ACHAT",I48,-I48)*L48)</x:f>
      </x:c>
      <x:c r="N48" s="32" t="str">
        <x:f>IF(B48="","",ROUND(IF(H48="ACHAT",-I48*J48-K48,I48*J48-K48)*L48,2))</x:f>
      </x:c>
      <x:c r="O48" s="30" t="str">
        <x:f>IF(B48="","",COUNTIFS($C$7:$C$76,C48,$L$7:$L$76,1))</x:f>
      </x:c>
      <x:c r="P48" s="30" t="n">
        <x:f>IF(OR(B48="",L48=0),0,IF(AND(COUNTIFS($B$7:$B$76,B48,$L$7:$L$76,1)=1,C48&lt;&gt;"",'Transactions'!L48="EUR",ISNUMBER(D48),D48&gt;0,ISNUMBER(E48),E48&gt;=D48,OR(F48=0,AND(ISNUMBER(F48),F48&gt;=D48)),COUNTIFS('Marché'!$J$7:$J$11,G48)=1,OR(H48="ACHAT",H48="VENTE"),ISNUMBER(I48),I48&gt;0,ISNUMBER(J48),J48&gt;0,ISNUMBER(K48),K48&gt;=0),0,1))</x:f>
        <x:v>0</x:v>
      </x:c>
      <x:c r="Q48" s="30" t="n">
        <x:f>IF(OR(B48="",L48=0),0,IF(COUNTIFS('Dépositaire'!$C$7:$C$66,C48)=1,0,1))</x:f>
        <x:v>0</x:v>
      </x:c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30" t="str">
        <x:f>IF('Transactions'!B49="","",'Transactions'!B49)</x:f>
      </x:c>
      <x:c r="C49" s="30" t="str">
        <x:f>IF('Transactions'!B49="","",'Transactions'!C49)</x:f>
      </x:c>
      <x:c r="D49" s="31" t="str">
        <x:f>IF('Transactions'!B49="","",'Transactions'!D49)</x:f>
      </x:c>
      <x:c r="E49" s="31" t="str">
        <x:f>IF('Transactions'!B49="","",'Transactions'!E49)</x:f>
      </x:c>
      <x:c r="F49" s="31" t="str">
        <x:f>IF('Transactions'!B49="","",IF('Transactions'!F49="",0,'Transactions'!F49))</x:f>
      </x:c>
      <x:c r="G49" s="30" t="str">
        <x:f>IF('Transactions'!B49="","",'Transactions'!G49)</x:f>
      </x:c>
      <x:c r="H49" s="30" t="str">
        <x:f>IF('Transactions'!B49="","",'Transactions'!H49)</x:f>
      </x:c>
      <x:c r="I49" s="32" t="str">
        <x:f>IF(B49="","",IF(COUNTIFS('Anomalies'!$C$19:$C$23,B49,'Anomalies'!$D$19:$D$23,"Quantite",'Anomalies'!$F$19:$F$23,"OUI")=1,SUMIFS('Anomalies'!$E$19:$E$23,'Anomalies'!$C$19:$C$23,B49,'Anomalies'!$D$19:$D$23,"Quantite",'Anomalies'!$F$19:$F$23,"OUI"),'Transactions'!I49))</x:f>
      </x:c>
      <x:c r="J49" s="32" t="str">
        <x:f>IF('Transactions'!B49="","",'Transactions'!J49)</x:f>
      </x:c>
      <x:c r="K49" s="32" t="str">
        <x:f>IF('Transactions'!B49="","",'Transactions'!K49)</x:f>
      </x:c>
      <x:c r="L49" s="30" t="n">
        <x:f>IF(B49="",0,IF(COUNTIFS('Anomalies'!$C$19:$C$23,B49,'Anomalies'!$D$19:$D$23,"Exclure",'Anomalies'!$F$19:$F$23,"OUI")&gt;0,0,1))</x:f>
        <x:v>0</x:v>
      </x:c>
      <x:c r="M49" s="30" t="str">
        <x:f>IF(B49="","",IF(H49="ACHAT",I49,-I49)*L49)</x:f>
      </x:c>
      <x:c r="N49" s="32" t="str">
        <x:f>IF(B49="","",ROUND(IF(H49="ACHAT",-I49*J49-K49,I49*J49-K49)*L49,2))</x:f>
      </x:c>
      <x:c r="O49" s="30" t="str">
        <x:f>IF(B49="","",COUNTIFS($C$7:$C$76,C49,$L$7:$L$76,1))</x:f>
      </x:c>
      <x:c r="P49" s="30" t="n">
        <x:f>IF(OR(B49="",L49=0),0,IF(AND(COUNTIFS($B$7:$B$76,B49,$L$7:$L$76,1)=1,C49&lt;&gt;"",'Transactions'!L49="EUR",ISNUMBER(D49),D49&gt;0,ISNUMBER(E49),E49&gt;=D49,OR(F49=0,AND(ISNUMBER(F49),F49&gt;=D49)),COUNTIFS('Marché'!$J$7:$J$11,G49)=1,OR(H49="ACHAT",H49="VENTE"),ISNUMBER(I49),I49&gt;0,ISNUMBER(J49),J49&gt;0,ISNUMBER(K49),K49&gt;=0),0,1))</x:f>
        <x:v>0</x:v>
      </x:c>
      <x:c r="Q49" s="30" t="n">
        <x:f>IF(OR(B49="",L49=0),0,IF(COUNTIFS('Dépositaire'!$C$7:$C$66,C49)=1,0,1))</x:f>
        <x:v>0</x:v>
      </x:c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30" t="str">
        <x:f>IF('Transactions'!B50="","",'Transactions'!B50)</x:f>
      </x:c>
      <x:c r="C50" s="30" t="str">
        <x:f>IF('Transactions'!B50="","",'Transactions'!C50)</x:f>
      </x:c>
      <x:c r="D50" s="31" t="str">
        <x:f>IF('Transactions'!B50="","",'Transactions'!D50)</x:f>
      </x:c>
      <x:c r="E50" s="31" t="str">
        <x:f>IF('Transactions'!B50="","",'Transactions'!E50)</x:f>
      </x:c>
      <x:c r="F50" s="31" t="str">
        <x:f>IF('Transactions'!B50="","",IF('Transactions'!F50="",0,'Transactions'!F50))</x:f>
      </x:c>
      <x:c r="G50" s="30" t="str">
        <x:f>IF('Transactions'!B50="","",'Transactions'!G50)</x:f>
      </x:c>
      <x:c r="H50" s="30" t="str">
        <x:f>IF('Transactions'!B50="","",'Transactions'!H50)</x:f>
      </x:c>
      <x:c r="I50" s="32" t="str">
        <x:f>IF(B50="","",IF(COUNTIFS('Anomalies'!$C$19:$C$23,B50,'Anomalies'!$D$19:$D$23,"Quantite",'Anomalies'!$F$19:$F$23,"OUI")=1,SUMIFS('Anomalies'!$E$19:$E$23,'Anomalies'!$C$19:$C$23,B50,'Anomalies'!$D$19:$D$23,"Quantite",'Anomalies'!$F$19:$F$23,"OUI"),'Transactions'!I50))</x:f>
      </x:c>
      <x:c r="J50" s="32" t="str">
        <x:f>IF('Transactions'!B50="","",'Transactions'!J50)</x:f>
      </x:c>
      <x:c r="K50" s="32" t="str">
        <x:f>IF('Transactions'!B50="","",'Transactions'!K50)</x:f>
      </x:c>
      <x:c r="L50" s="30" t="n">
        <x:f>IF(B50="",0,IF(COUNTIFS('Anomalies'!$C$19:$C$23,B50,'Anomalies'!$D$19:$D$23,"Exclure",'Anomalies'!$F$19:$F$23,"OUI")&gt;0,0,1))</x:f>
        <x:v>0</x:v>
      </x:c>
      <x:c r="M50" s="30" t="str">
        <x:f>IF(B50="","",IF(H50="ACHAT",I50,-I50)*L50)</x:f>
      </x:c>
      <x:c r="N50" s="32" t="str">
        <x:f>IF(B50="","",ROUND(IF(H50="ACHAT",-I50*J50-K50,I50*J50-K50)*L50,2))</x:f>
      </x:c>
      <x:c r="O50" s="30" t="str">
        <x:f>IF(B50="","",COUNTIFS($C$7:$C$76,C50,$L$7:$L$76,1))</x:f>
      </x:c>
      <x:c r="P50" s="30" t="n">
        <x:f>IF(OR(B50="",L50=0),0,IF(AND(COUNTIFS($B$7:$B$76,B50,$L$7:$L$76,1)=1,C50&lt;&gt;"",'Transactions'!L50="EUR",ISNUMBER(D50),D50&gt;0,ISNUMBER(E50),E50&gt;=D50,OR(F50=0,AND(ISNUMBER(F50),F50&gt;=D50)),COUNTIFS('Marché'!$J$7:$J$11,G50)=1,OR(H50="ACHAT",H50="VENTE"),ISNUMBER(I50),I50&gt;0,ISNUMBER(J50),J50&gt;0,ISNUMBER(K50),K50&gt;=0),0,1))</x:f>
        <x:v>0</x:v>
      </x:c>
      <x:c r="Q50" s="30" t="n">
        <x:f>IF(OR(B50="",L50=0),0,IF(COUNTIFS('Dépositaire'!$C$7:$C$66,C50)=1,0,1))</x:f>
        <x:v>0</x:v>
      </x:c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30" t="str">
        <x:f>IF('Transactions'!B51="","",'Transactions'!B51)</x:f>
      </x:c>
      <x:c r="C51" s="30" t="str">
        <x:f>IF('Transactions'!B51="","",'Transactions'!C51)</x:f>
      </x:c>
      <x:c r="D51" s="31" t="str">
        <x:f>IF('Transactions'!B51="","",'Transactions'!D51)</x:f>
      </x:c>
      <x:c r="E51" s="31" t="str">
        <x:f>IF('Transactions'!B51="","",'Transactions'!E51)</x:f>
      </x:c>
      <x:c r="F51" s="31" t="str">
        <x:f>IF('Transactions'!B51="","",IF('Transactions'!F51="",0,'Transactions'!F51))</x:f>
      </x:c>
      <x:c r="G51" s="30" t="str">
        <x:f>IF('Transactions'!B51="","",'Transactions'!G51)</x:f>
      </x:c>
      <x:c r="H51" s="30" t="str">
        <x:f>IF('Transactions'!B51="","",'Transactions'!H51)</x:f>
      </x:c>
      <x:c r="I51" s="32" t="str">
        <x:f>IF(B51="","",IF(COUNTIFS('Anomalies'!$C$19:$C$23,B51,'Anomalies'!$D$19:$D$23,"Quantite",'Anomalies'!$F$19:$F$23,"OUI")=1,SUMIFS('Anomalies'!$E$19:$E$23,'Anomalies'!$C$19:$C$23,B51,'Anomalies'!$D$19:$D$23,"Quantite",'Anomalies'!$F$19:$F$23,"OUI"),'Transactions'!I51))</x:f>
      </x:c>
      <x:c r="J51" s="32" t="str">
        <x:f>IF('Transactions'!B51="","",'Transactions'!J51)</x:f>
      </x:c>
      <x:c r="K51" s="32" t="str">
        <x:f>IF('Transactions'!B51="","",'Transactions'!K51)</x:f>
      </x:c>
      <x:c r="L51" s="30" t="n">
        <x:f>IF(B51="",0,IF(COUNTIFS('Anomalies'!$C$19:$C$23,B51,'Anomalies'!$D$19:$D$23,"Exclure",'Anomalies'!$F$19:$F$23,"OUI")&gt;0,0,1))</x:f>
        <x:v>0</x:v>
      </x:c>
      <x:c r="M51" s="30" t="str">
        <x:f>IF(B51="","",IF(H51="ACHAT",I51,-I51)*L51)</x:f>
      </x:c>
      <x:c r="N51" s="32" t="str">
        <x:f>IF(B51="","",ROUND(IF(H51="ACHAT",-I51*J51-K51,I51*J51-K51)*L51,2))</x:f>
      </x:c>
      <x:c r="O51" s="30" t="str">
        <x:f>IF(B51="","",COUNTIFS($C$7:$C$76,C51,$L$7:$L$76,1))</x:f>
      </x:c>
      <x:c r="P51" s="30" t="n">
        <x:f>IF(OR(B51="",L51=0),0,IF(AND(COUNTIFS($B$7:$B$76,B51,$L$7:$L$76,1)=1,C51&lt;&gt;"",'Transactions'!L51="EUR",ISNUMBER(D51),D51&gt;0,ISNUMBER(E51),E51&gt;=D51,OR(F51=0,AND(ISNUMBER(F51),F51&gt;=D51)),COUNTIFS('Marché'!$J$7:$J$11,G51)=1,OR(H51="ACHAT",H51="VENTE"),ISNUMBER(I51),I51&gt;0,ISNUMBER(J51),J51&gt;0,ISNUMBER(K51),K51&gt;=0),0,1))</x:f>
        <x:v>0</x:v>
      </x:c>
      <x:c r="Q51" s="30" t="n">
        <x:f>IF(OR(B51="",L51=0),0,IF(COUNTIFS('Dépositaire'!$C$7:$C$66,C51)=1,0,1))</x:f>
        <x:v>0</x:v>
      </x:c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30" t="str">
        <x:f>IF('Transactions'!B52="","",'Transactions'!B52)</x:f>
      </x:c>
      <x:c r="C52" s="30" t="str">
        <x:f>IF('Transactions'!B52="","",'Transactions'!C52)</x:f>
      </x:c>
      <x:c r="D52" s="31" t="str">
        <x:f>IF('Transactions'!B52="","",'Transactions'!D52)</x:f>
      </x:c>
      <x:c r="E52" s="31" t="str">
        <x:f>IF('Transactions'!B52="","",'Transactions'!E52)</x:f>
      </x:c>
      <x:c r="F52" s="31" t="str">
        <x:f>IF('Transactions'!B52="","",IF('Transactions'!F52="",0,'Transactions'!F52))</x:f>
      </x:c>
      <x:c r="G52" s="30" t="str">
        <x:f>IF('Transactions'!B52="","",'Transactions'!G52)</x:f>
      </x:c>
      <x:c r="H52" s="30" t="str">
        <x:f>IF('Transactions'!B52="","",'Transactions'!H52)</x:f>
      </x:c>
      <x:c r="I52" s="32" t="str">
        <x:f>IF(B52="","",IF(COUNTIFS('Anomalies'!$C$19:$C$23,B52,'Anomalies'!$D$19:$D$23,"Quantite",'Anomalies'!$F$19:$F$23,"OUI")=1,SUMIFS('Anomalies'!$E$19:$E$23,'Anomalies'!$C$19:$C$23,B52,'Anomalies'!$D$19:$D$23,"Quantite",'Anomalies'!$F$19:$F$23,"OUI"),'Transactions'!I52))</x:f>
      </x:c>
      <x:c r="J52" s="32" t="str">
        <x:f>IF('Transactions'!B52="","",'Transactions'!J52)</x:f>
      </x:c>
      <x:c r="K52" s="32" t="str">
        <x:f>IF('Transactions'!B52="","",'Transactions'!K52)</x:f>
      </x:c>
      <x:c r="L52" s="30" t="n">
        <x:f>IF(B52="",0,IF(COUNTIFS('Anomalies'!$C$19:$C$23,B52,'Anomalies'!$D$19:$D$23,"Exclure",'Anomalies'!$F$19:$F$23,"OUI")&gt;0,0,1))</x:f>
        <x:v>0</x:v>
      </x:c>
      <x:c r="M52" s="30" t="str">
        <x:f>IF(B52="","",IF(H52="ACHAT",I52,-I52)*L52)</x:f>
      </x:c>
      <x:c r="N52" s="32" t="str">
        <x:f>IF(B52="","",ROUND(IF(H52="ACHAT",-I52*J52-K52,I52*J52-K52)*L52,2))</x:f>
      </x:c>
      <x:c r="O52" s="30" t="str">
        <x:f>IF(B52="","",COUNTIFS($C$7:$C$76,C52,$L$7:$L$76,1))</x:f>
      </x:c>
      <x:c r="P52" s="30" t="n">
        <x:f>IF(OR(B52="",L52=0),0,IF(AND(COUNTIFS($B$7:$B$76,B52,$L$7:$L$76,1)=1,C52&lt;&gt;"",'Transactions'!L52="EUR",ISNUMBER(D52),D52&gt;0,ISNUMBER(E52),E52&gt;=D52,OR(F52=0,AND(ISNUMBER(F52),F52&gt;=D52)),COUNTIFS('Marché'!$J$7:$J$11,G52)=1,OR(H52="ACHAT",H52="VENTE"),ISNUMBER(I52),I52&gt;0,ISNUMBER(J52),J52&gt;0,ISNUMBER(K52),K52&gt;=0),0,1))</x:f>
        <x:v>0</x:v>
      </x:c>
      <x:c r="Q52" s="30" t="n">
        <x:f>IF(OR(B52="",L52=0),0,IF(COUNTIFS('Dépositaire'!$C$7:$C$66,C52)=1,0,1))</x:f>
        <x:v>0</x:v>
      </x:c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30" t="str">
        <x:f>IF('Transactions'!B53="","",'Transactions'!B53)</x:f>
      </x:c>
      <x:c r="C53" s="30" t="str">
        <x:f>IF('Transactions'!B53="","",'Transactions'!C53)</x:f>
      </x:c>
      <x:c r="D53" s="31" t="str">
        <x:f>IF('Transactions'!B53="","",'Transactions'!D53)</x:f>
      </x:c>
      <x:c r="E53" s="31" t="str">
        <x:f>IF('Transactions'!B53="","",'Transactions'!E53)</x:f>
      </x:c>
      <x:c r="F53" s="31" t="str">
        <x:f>IF('Transactions'!B53="","",IF('Transactions'!F53="",0,'Transactions'!F53))</x:f>
      </x:c>
      <x:c r="G53" s="30" t="str">
        <x:f>IF('Transactions'!B53="","",'Transactions'!G53)</x:f>
      </x:c>
      <x:c r="H53" s="30" t="str">
        <x:f>IF('Transactions'!B53="","",'Transactions'!H53)</x:f>
      </x:c>
      <x:c r="I53" s="32" t="str">
        <x:f>IF(B53="","",IF(COUNTIFS('Anomalies'!$C$19:$C$23,B53,'Anomalies'!$D$19:$D$23,"Quantite",'Anomalies'!$F$19:$F$23,"OUI")=1,SUMIFS('Anomalies'!$E$19:$E$23,'Anomalies'!$C$19:$C$23,B53,'Anomalies'!$D$19:$D$23,"Quantite",'Anomalies'!$F$19:$F$23,"OUI"),'Transactions'!I53))</x:f>
      </x:c>
      <x:c r="J53" s="32" t="str">
        <x:f>IF('Transactions'!B53="","",'Transactions'!J53)</x:f>
      </x:c>
      <x:c r="K53" s="32" t="str">
        <x:f>IF('Transactions'!B53="","",'Transactions'!K53)</x:f>
      </x:c>
      <x:c r="L53" s="30" t="n">
        <x:f>IF(B53="",0,IF(COUNTIFS('Anomalies'!$C$19:$C$23,B53,'Anomalies'!$D$19:$D$23,"Exclure",'Anomalies'!$F$19:$F$23,"OUI")&gt;0,0,1))</x:f>
        <x:v>0</x:v>
      </x:c>
      <x:c r="M53" s="30" t="str">
        <x:f>IF(B53="","",IF(H53="ACHAT",I53,-I53)*L53)</x:f>
      </x:c>
      <x:c r="N53" s="32" t="str">
        <x:f>IF(B53="","",ROUND(IF(H53="ACHAT",-I53*J53-K53,I53*J53-K53)*L53,2))</x:f>
      </x:c>
      <x:c r="O53" s="30" t="str">
        <x:f>IF(B53="","",COUNTIFS($C$7:$C$76,C53,$L$7:$L$76,1))</x:f>
      </x:c>
      <x:c r="P53" s="30" t="n">
        <x:f>IF(OR(B53="",L53=0),0,IF(AND(COUNTIFS($B$7:$B$76,B53,$L$7:$L$76,1)=1,C53&lt;&gt;"",'Transactions'!L53="EUR",ISNUMBER(D53),D53&gt;0,ISNUMBER(E53),E53&gt;=D53,OR(F53=0,AND(ISNUMBER(F53),F53&gt;=D53)),COUNTIFS('Marché'!$J$7:$J$11,G53)=1,OR(H53="ACHAT",H53="VENTE"),ISNUMBER(I53),I53&gt;0,ISNUMBER(J53),J53&gt;0,ISNUMBER(K53),K53&gt;=0),0,1))</x:f>
        <x:v>0</x:v>
      </x:c>
      <x:c r="Q53" s="30" t="n">
        <x:f>IF(OR(B53="",L53=0),0,IF(COUNTIFS('Dépositaire'!$C$7:$C$66,C53)=1,0,1))</x:f>
        <x:v>0</x:v>
      </x:c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30" t="str">
        <x:f>IF('Transactions'!B54="","",'Transactions'!B54)</x:f>
      </x:c>
      <x:c r="C54" s="30" t="str">
        <x:f>IF('Transactions'!B54="","",'Transactions'!C54)</x:f>
      </x:c>
      <x:c r="D54" s="31" t="str">
        <x:f>IF('Transactions'!B54="","",'Transactions'!D54)</x:f>
      </x:c>
      <x:c r="E54" s="31" t="str">
        <x:f>IF('Transactions'!B54="","",'Transactions'!E54)</x:f>
      </x:c>
      <x:c r="F54" s="31" t="str">
        <x:f>IF('Transactions'!B54="","",IF('Transactions'!F54="",0,'Transactions'!F54))</x:f>
      </x:c>
      <x:c r="G54" s="30" t="str">
        <x:f>IF('Transactions'!B54="","",'Transactions'!G54)</x:f>
      </x:c>
      <x:c r="H54" s="30" t="str">
        <x:f>IF('Transactions'!B54="","",'Transactions'!H54)</x:f>
      </x:c>
      <x:c r="I54" s="32" t="str">
        <x:f>IF(B54="","",IF(COUNTIFS('Anomalies'!$C$19:$C$23,B54,'Anomalies'!$D$19:$D$23,"Quantite",'Anomalies'!$F$19:$F$23,"OUI")=1,SUMIFS('Anomalies'!$E$19:$E$23,'Anomalies'!$C$19:$C$23,B54,'Anomalies'!$D$19:$D$23,"Quantite",'Anomalies'!$F$19:$F$23,"OUI"),'Transactions'!I54))</x:f>
      </x:c>
      <x:c r="J54" s="32" t="str">
        <x:f>IF('Transactions'!B54="","",'Transactions'!J54)</x:f>
      </x:c>
      <x:c r="K54" s="32" t="str">
        <x:f>IF('Transactions'!B54="","",'Transactions'!K54)</x:f>
      </x:c>
      <x:c r="L54" s="30" t="n">
        <x:f>IF(B54="",0,IF(COUNTIFS('Anomalies'!$C$19:$C$23,B54,'Anomalies'!$D$19:$D$23,"Exclure",'Anomalies'!$F$19:$F$23,"OUI")&gt;0,0,1))</x:f>
        <x:v>0</x:v>
      </x:c>
      <x:c r="M54" s="30" t="str">
        <x:f>IF(B54="","",IF(H54="ACHAT",I54,-I54)*L54)</x:f>
      </x:c>
      <x:c r="N54" s="32" t="str">
        <x:f>IF(B54="","",ROUND(IF(H54="ACHAT",-I54*J54-K54,I54*J54-K54)*L54,2))</x:f>
      </x:c>
      <x:c r="O54" s="30" t="str">
        <x:f>IF(B54="","",COUNTIFS($C$7:$C$76,C54,$L$7:$L$76,1))</x:f>
      </x:c>
      <x:c r="P54" s="30" t="n">
        <x:f>IF(OR(B54="",L54=0),0,IF(AND(COUNTIFS($B$7:$B$76,B54,$L$7:$L$76,1)=1,C54&lt;&gt;"",'Transactions'!L54="EUR",ISNUMBER(D54),D54&gt;0,ISNUMBER(E54),E54&gt;=D54,OR(F54=0,AND(ISNUMBER(F54),F54&gt;=D54)),COUNTIFS('Marché'!$J$7:$J$11,G54)=1,OR(H54="ACHAT",H54="VENTE"),ISNUMBER(I54),I54&gt;0,ISNUMBER(J54),J54&gt;0,ISNUMBER(K54),K54&gt;=0),0,1))</x:f>
        <x:v>0</x:v>
      </x:c>
      <x:c r="Q54" s="30" t="n">
        <x:f>IF(OR(B54="",L54=0),0,IF(COUNTIFS('Dépositaire'!$C$7:$C$66,C54)=1,0,1))</x:f>
        <x:v>0</x:v>
      </x:c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30" t="str">
        <x:f>IF('Transactions'!B55="","",'Transactions'!B55)</x:f>
      </x:c>
      <x:c r="C55" s="30" t="str">
        <x:f>IF('Transactions'!B55="","",'Transactions'!C55)</x:f>
      </x:c>
      <x:c r="D55" s="31" t="str">
        <x:f>IF('Transactions'!B55="","",'Transactions'!D55)</x:f>
      </x:c>
      <x:c r="E55" s="31" t="str">
        <x:f>IF('Transactions'!B55="","",'Transactions'!E55)</x:f>
      </x:c>
      <x:c r="F55" s="31" t="str">
        <x:f>IF('Transactions'!B55="","",IF('Transactions'!F55="",0,'Transactions'!F55))</x:f>
      </x:c>
      <x:c r="G55" s="30" t="str">
        <x:f>IF('Transactions'!B55="","",'Transactions'!G55)</x:f>
      </x:c>
      <x:c r="H55" s="30" t="str">
        <x:f>IF('Transactions'!B55="","",'Transactions'!H55)</x:f>
      </x:c>
      <x:c r="I55" s="32" t="str">
        <x:f>IF(B55="","",IF(COUNTIFS('Anomalies'!$C$19:$C$23,B55,'Anomalies'!$D$19:$D$23,"Quantite",'Anomalies'!$F$19:$F$23,"OUI")=1,SUMIFS('Anomalies'!$E$19:$E$23,'Anomalies'!$C$19:$C$23,B55,'Anomalies'!$D$19:$D$23,"Quantite",'Anomalies'!$F$19:$F$23,"OUI"),'Transactions'!I55))</x:f>
      </x:c>
      <x:c r="J55" s="32" t="str">
        <x:f>IF('Transactions'!B55="","",'Transactions'!J55)</x:f>
      </x:c>
      <x:c r="K55" s="32" t="str">
        <x:f>IF('Transactions'!B55="","",'Transactions'!K55)</x:f>
      </x:c>
      <x:c r="L55" s="30" t="n">
        <x:f>IF(B55="",0,IF(COUNTIFS('Anomalies'!$C$19:$C$23,B55,'Anomalies'!$D$19:$D$23,"Exclure",'Anomalies'!$F$19:$F$23,"OUI")&gt;0,0,1))</x:f>
        <x:v>0</x:v>
      </x:c>
      <x:c r="M55" s="30" t="str">
        <x:f>IF(B55="","",IF(H55="ACHAT",I55,-I55)*L55)</x:f>
      </x:c>
      <x:c r="N55" s="32" t="str">
        <x:f>IF(B55="","",ROUND(IF(H55="ACHAT",-I55*J55-K55,I55*J55-K55)*L55,2))</x:f>
      </x:c>
      <x:c r="O55" s="30" t="str">
        <x:f>IF(B55="","",COUNTIFS($C$7:$C$76,C55,$L$7:$L$76,1))</x:f>
      </x:c>
      <x:c r="P55" s="30" t="n">
        <x:f>IF(OR(B55="",L55=0),0,IF(AND(COUNTIFS($B$7:$B$76,B55,$L$7:$L$76,1)=1,C55&lt;&gt;"",'Transactions'!L55="EUR",ISNUMBER(D55),D55&gt;0,ISNUMBER(E55),E55&gt;=D55,OR(F55=0,AND(ISNUMBER(F55),F55&gt;=D55)),COUNTIFS('Marché'!$J$7:$J$11,G55)=1,OR(H55="ACHAT",H55="VENTE"),ISNUMBER(I55),I55&gt;0,ISNUMBER(J55),J55&gt;0,ISNUMBER(K55),K55&gt;=0),0,1))</x:f>
        <x:v>0</x:v>
      </x:c>
      <x:c r="Q55" s="30" t="n">
        <x:f>IF(OR(B55="",L55=0),0,IF(COUNTIFS('Dépositaire'!$C$7:$C$66,C55)=1,0,1))</x:f>
        <x:v>0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30" t="str">
        <x:f>IF('Transactions'!B56="","",'Transactions'!B56)</x:f>
      </x:c>
      <x:c r="C56" s="30" t="str">
        <x:f>IF('Transactions'!B56="","",'Transactions'!C56)</x:f>
      </x:c>
      <x:c r="D56" s="31" t="str">
        <x:f>IF('Transactions'!B56="","",'Transactions'!D56)</x:f>
      </x:c>
      <x:c r="E56" s="31" t="str">
        <x:f>IF('Transactions'!B56="","",'Transactions'!E56)</x:f>
      </x:c>
      <x:c r="F56" s="31" t="str">
        <x:f>IF('Transactions'!B56="","",IF('Transactions'!F56="",0,'Transactions'!F56))</x:f>
      </x:c>
      <x:c r="G56" s="30" t="str">
        <x:f>IF('Transactions'!B56="","",'Transactions'!G56)</x:f>
      </x:c>
      <x:c r="H56" s="30" t="str">
        <x:f>IF('Transactions'!B56="","",'Transactions'!H56)</x:f>
      </x:c>
      <x:c r="I56" s="32" t="str">
        <x:f>IF(B56="","",IF(COUNTIFS('Anomalies'!$C$19:$C$23,B56,'Anomalies'!$D$19:$D$23,"Quantite",'Anomalies'!$F$19:$F$23,"OUI")=1,SUMIFS('Anomalies'!$E$19:$E$23,'Anomalies'!$C$19:$C$23,B56,'Anomalies'!$D$19:$D$23,"Quantite",'Anomalies'!$F$19:$F$23,"OUI"),'Transactions'!I56))</x:f>
      </x:c>
      <x:c r="J56" s="32" t="str">
        <x:f>IF('Transactions'!B56="","",'Transactions'!J56)</x:f>
      </x:c>
      <x:c r="K56" s="32" t="str">
        <x:f>IF('Transactions'!B56="","",'Transactions'!K56)</x:f>
      </x:c>
      <x:c r="L56" s="30" t="n">
        <x:f>IF(B56="",0,IF(COUNTIFS('Anomalies'!$C$19:$C$23,B56,'Anomalies'!$D$19:$D$23,"Exclure",'Anomalies'!$F$19:$F$23,"OUI")&gt;0,0,1))</x:f>
        <x:v>0</x:v>
      </x:c>
      <x:c r="M56" s="30" t="str">
        <x:f>IF(B56="","",IF(H56="ACHAT",I56,-I56)*L56)</x:f>
      </x:c>
      <x:c r="N56" s="32" t="str">
        <x:f>IF(B56="","",ROUND(IF(H56="ACHAT",-I56*J56-K56,I56*J56-K56)*L56,2))</x:f>
      </x:c>
      <x:c r="O56" s="30" t="str">
        <x:f>IF(B56="","",COUNTIFS($C$7:$C$76,C56,$L$7:$L$76,1))</x:f>
      </x:c>
      <x:c r="P56" s="30" t="n">
        <x:f>IF(OR(B56="",L56=0),0,IF(AND(COUNTIFS($B$7:$B$76,B56,$L$7:$L$76,1)=1,C56&lt;&gt;"",'Transactions'!L56="EUR",ISNUMBER(D56),D56&gt;0,ISNUMBER(E56),E56&gt;=D56,OR(F56=0,AND(ISNUMBER(F56),F56&gt;=D56)),COUNTIFS('Marché'!$J$7:$J$11,G56)=1,OR(H56="ACHAT",H56="VENTE"),ISNUMBER(I56),I56&gt;0,ISNUMBER(J56),J56&gt;0,ISNUMBER(K56),K56&gt;=0),0,1))</x:f>
        <x:v>0</x:v>
      </x:c>
      <x:c r="Q56" s="30" t="n">
        <x:f>IF(OR(B56="",L56=0),0,IF(COUNTIFS('Dépositaire'!$C$7:$C$66,C56)=1,0,1))</x:f>
        <x:v>0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30" t="str">
        <x:f>IF('Transactions'!B57="","",'Transactions'!B57)</x:f>
      </x:c>
      <x:c r="C57" s="30" t="str">
        <x:f>IF('Transactions'!B57="","",'Transactions'!C57)</x:f>
      </x:c>
      <x:c r="D57" s="31" t="str">
        <x:f>IF('Transactions'!B57="","",'Transactions'!D57)</x:f>
      </x:c>
      <x:c r="E57" s="31" t="str">
        <x:f>IF('Transactions'!B57="","",'Transactions'!E57)</x:f>
      </x:c>
      <x:c r="F57" s="31" t="str">
        <x:f>IF('Transactions'!B57="","",IF('Transactions'!F57="",0,'Transactions'!F57))</x:f>
      </x:c>
      <x:c r="G57" s="30" t="str">
        <x:f>IF('Transactions'!B57="","",'Transactions'!G57)</x:f>
      </x:c>
      <x:c r="H57" s="30" t="str">
        <x:f>IF('Transactions'!B57="","",'Transactions'!H57)</x:f>
      </x:c>
      <x:c r="I57" s="32" t="str">
        <x:f>IF(B57="","",IF(COUNTIFS('Anomalies'!$C$19:$C$23,B57,'Anomalies'!$D$19:$D$23,"Quantite",'Anomalies'!$F$19:$F$23,"OUI")=1,SUMIFS('Anomalies'!$E$19:$E$23,'Anomalies'!$C$19:$C$23,B57,'Anomalies'!$D$19:$D$23,"Quantite",'Anomalies'!$F$19:$F$23,"OUI"),'Transactions'!I57))</x:f>
      </x:c>
      <x:c r="J57" s="32" t="str">
        <x:f>IF('Transactions'!B57="","",'Transactions'!J57)</x:f>
      </x:c>
      <x:c r="K57" s="32" t="str">
        <x:f>IF('Transactions'!B57="","",'Transactions'!K57)</x:f>
      </x:c>
      <x:c r="L57" s="30" t="n">
        <x:f>IF(B57="",0,IF(COUNTIFS('Anomalies'!$C$19:$C$23,B57,'Anomalies'!$D$19:$D$23,"Exclure",'Anomalies'!$F$19:$F$23,"OUI")&gt;0,0,1))</x:f>
        <x:v>0</x:v>
      </x:c>
      <x:c r="M57" s="30" t="str">
        <x:f>IF(B57="","",IF(H57="ACHAT",I57,-I57)*L57)</x:f>
      </x:c>
      <x:c r="N57" s="32" t="str">
        <x:f>IF(B57="","",ROUND(IF(H57="ACHAT",-I57*J57-K57,I57*J57-K57)*L57,2))</x:f>
      </x:c>
      <x:c r="O57" s="30" t="str">
        <x:f>IF(B57="","",COUNTIFS($C$7:$C$76,C57,$L$7:$L$76,1))</x:f>
      </x:c>
      <x:c r="P57" s="30" t="n">
        <x:f>IF(OR(B57="",L57=0),0,IF(AND(COUNTIFS($B$7:$B$76,B57,$L$7:$L$76,1)=1,C57&lt;&gt;"",'Transactions'!L57="EUR",ISNUMBER(D57),D57&gt;0,ISNUMBER(E57),E57&gt;=D57,OR(F57=0,AND(ISNUMBER(F57),F57&gt;=D57)),COUNTIFS('Marché'!$J$7:$J$11,G57)=1,OR(H57="ACHAT",H57="VENTE"),ISNUMBER(I57),I57&gt;0,ISNUMBER(J57),J57&gt;0,ISNUMBER(K57),K57&gt;=0),0,1))</x:f>
        <x:v>0</x:v>
      </x:c>
      <x:c r="Q57" s="30" t="n">
        <x:f>IF(OR(B57="",L57=0),0,IF(COUNTIFS('Dépositaire'!$C$7:$C$66,C57)=1,0,1))</x:f>
        <x:v>0</x:v>
      </x:c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30" t="str">
        <x:f>IF('Transactions'!B58="","",'Transactions'!B58)</x:f>
      </x:c>
      <x:c r="C58" s="30" t="str">
        <x:f>IF('Transactions'!B58="","",'Transactions'!C58)</x:f>
      </x:c>
      <x:c r="D58" s="31" t="str">
        <x:f>IF('Transactions'!B58="","",'Transactions'!D58)</x:f>
      </x:c>
      <x:c r="E58" s="31" t="str">
        <x:f>IF('Transactions'!B58="","",'Transactions'!E58)</x:f>
      </x:c>
      <x:c r="F58" s="31" t="str">
        <x:f>IF('Transactions'!B58="","",IF('Transactions'!F58="",0,'Transactions'!F58))</x:f>
      </x:c>
      <x:c r="G58" s="30" t="str">
        <x:f>IF('Transactions'!B58="","",'Transactions'!G58)</x:f>
      </x:c>
      <x:c r="H58" s="30" t="str">
        <x:f>IF('Transactions'!B58="","",'Transactions'!H58)</x:f>
      </x:c>
      <x:c r="I58" s="32" t="str">
        <x:f>IF(B58="","",IF(COUNTIFS('Anomalies'!$C$19:$C$23,B58,'Anomalies'!$D$19:$D$23,"Quantite",'Anomalies'!$F$19:$F$23,"OUI")=1,SUMIFS('Anomalies'!$E$19:$E$23,'Anomalies'!$C$19:$C$23,B58,'Anomalies'!$D$19:$D$23,"Quantite",'Anomalies'!$F$19:$F$23,"OUI"),'Transactions'!I58))</x:f>
      </x:c>
      <x:c r="J58" s="32" t="str">
        <x:f>IF('Transactions'!B58="","",'Transactions'!J58)</x:f>
      </x:c>
      <x:c r="K58" s="32" t="str">
        <x:f>IF('Transactions'!B58="","",'Transactions'!K58)</x:f>
      </x:c>
      <x:c r="L58" s="30" t="n">
        <x:f>IF(B58="",0,IF(COUNTIFS('Anomalies'!$C$19:$C$23,B58,'Anomalies'!$D$19:$D$23,"Exclure",'Anomalies'!$F$19:$F$23,"OUI")&gt;0,0,1))</x:f>
        <x:v>0</x:v>
      </x:c>
      <x:c r="M58" s="30" t="str">
        <x:f>IF(B58="","",IF(H58="ACHAT",I58,-I58)*L58)</x:f>
      </x:c>
      <x:c r="N58" s="32" t="str">
        <x:f>IF(B58="","",ROUND(IF(H58="ACHAT",-I58*J58-K58,I58*J58-K58)*L58,2))</x:f>
      </x:c>
      <x:c r="O58" s="30" t="str">
        <x:f>IF(B58="","",COUNTIFS($C$7:$C$76,C58,$L$7:$L$76,1))</x:f>
      </x:c>
      <x:c r="P58" s="30" t="n">
        <x:f>IF(OR(B58="",L58=0),0,IF(AND(COUNTIFS($B$7:$B$76,B58,$L$7:$L$76,1)=1,C58&lt;&gt;"",'Transactions'!L58="EUR",ISNUMBER(D58),D58&gt;0,ISNUMBER(E58),E58&gt;=D58,OR(F58=0,AND(ISNUMBER(F58),F58&gt;=D58)),COUNTIFS('Marché'!$J$7:$J$11,G58)=1,OR(H58="ACHAT",H58="VENTE"),ISNUMBER(I58),I58&gt;0,ISNUMBER(J58),J58&gt;0,ISNUMBER(K58),K58&gt;=0),0,1))</x:f>
        <x:v>0</x:v>
      </x:c>
      <x:c r="Q58" s="30" t="n">
        <x:f>IF(OR(B58="",L58=0),0,IF(COUNTIFS('Dépositaire'!$C$7:$C$66,C58)=1,0,1))</x:f>
        <x:v>0</x:v>
      </x:c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30" t="str">
        <x:f>IF('Transactions'!B59="","",'Transactions'!B59)</x:f>
      </x:c>
      <x:c r="C59" s="30" t="str">
        <x:f>IF('Transactions'!B59="","",'Transactions'!C59)</x:f>
      </x:c>
      <x:c r="D59" s="31" t="str">
        <x:f>IF('Transactions'!B59="","",'Transactions'!D59)</x:f>
      </x:c>
      <x:c r="E59" s="31" t="str">
        <x:f>IF('Transactions'!B59="","",'Transactions'!E59)</x:f>
      </x:c>
      <x:c r="F59" s="31" t="str">
        <x:f>IF('Transactions'!B59="","",IF('Transactions'!F59="",0,'Transactions'!F59))</x:f>
      </x:c>
      <x:c r="G59" s="30" t="str">
        <x:f>IF('Transactions'!B59="","",'Transactions'!G59)</x:f>
      </x:c>
      <x:c r="H59" s="30" t="str">
        <x:f>IF('Transactions'!B59="","",'Transactions'!H59)</x:f>
      </x:c>
      <x:c r="I59" s="32" t="str">
        <x:f>IF(B59="","",IF(COUNTIFS('Anomalies'!$C$19:$C$23,B59,'Anomalies'!$D$19:$D$23,"Quantite",'Anomalies'!$F$19:$F$23,"OUI")=1,SUMIFS('Anomalies'!$E$19:$E$23,'Anomalies'!$C$19:$C$23,B59,'Anomalies'!$D$19:$D$23,"Quantite",'Anomalies'!$F$19:$F$23,"OUI"),'Transactions'!I59))</x:f>
      </x:c>
      <x:c r="J59" s="32" t="str">
        <x:f>IF('Transactions'!B59="","",'Transactions'!J59)</x:f>
      </x:c>
      <x:c r="K59" s="32" t="str">
        <x:f>IF('Transactions'!B59="","",'Transactions'!K59)</x:f>
      </x:c>
      <x:c r="L59" s="30" t="n">
        <x:f>IF(B59="",0,IF(COUNTIFS('Anomalies'!$C$19:$C$23,B59,'Anomalies'!$D$19:$D$23,"Exclure",'Anomalies'!$F$19:$F$23,"OUI")&gt;0,0,1))</x:f>
        <x:v>0</x:v>
      </x:c>
      <x:c r="M59" s="30" t="str">
        <x:f>IF(B59="","",IF(H59="ACHAT",I59,-I59)*L59)</x:f>
      </x:c>
      <x:c r="N59" s="32" t="str">
        <x:f>IF(B59="","",ROUND(IF(H59="ACHAT",-I59*J59-K59,I59*J59-K59)*L59,2))</x:f>
      </x:c>
      <x:c r="O59" s="30" t="str">
        <x:f>IF(B59="","",COUNTIFS($C$7:$C$76,C59,$L$7:$L$76,1))</x:f>
      </x:c>
      <x:c r="P59" s="30" t="n">
        <x:f>IF(OR(B59="",L59=0),0,IF(AND(COUNTIFS($B$7:$B$76,B59,$L$7:$L$76,1)=1,C59&lt;&gt;"",'Transactions'!L59="EUR",ISNUMBER(D59),D59&gt;0,ISNUMBER(E59),E59&gt;=D59,OR(F59=0,AND(ISNUMBER(F59),F59&gt;=D59)),COUNTIFS('Marché'!$J$7:$J$11,G59)=1,OR(H59="ACHAT",H59="VENTE"),ISNUMBER(I59),I59&gt;0,ISNUMBER(J59),J59&gt;0,ISNUMBER(K59),K59&gt;=0),0,1))</x:f>
        <x:v>0</x:v>
      </x:c>
      <x:c r="Q59" s="30" t="n">
        <x:f>IF(OR(B59="",L59=0),0,IF(COUNTIFS('Dépositaire'!$C$7:$C$66,C59)=1,0,1))</x:f>
        <x:v>0</x:v>
      </x:c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30" t="str">
        <x:f>IF('Transactions'!B60="","",'Transactions'!B60)</x:f>
      </x:c>
      <x:c r="C60" s="30" t="str">
        <x:f>IF('Transactions'!B60="","",'Transactions'!C60)</x:f>
      </x:c>
      <x:c r="D60" s="31" t="str">
        <x:f>IF('Transactions'!B60="","",'Transactions'!D60)</x:f>
      </x:c>
      <x:c r="E60" s="31" t="str">
        <x:f>IF('Transactions'!B60="","",'Transactions'!E60)</x:f>
      </x:c>
      <x:c r="F60" s="31" t="str">
        <x:f>IF('Transactions'!B60="","",IF('Transactions'!F60="",0,'Transactions'!F60))</x:f>
      </x:c>
      <x:c r="G60" s="30" t="str">
        <x:f>IF('Transactions'!B60="","",'Transactions'!G60)</x:f>
      </x:c>
      <x:c r="H60" s="30" t="str">
        <x:f>IF('Transactions'!B60="","",'Transactions'!H60)</x:f>
      </x:c>
      <x:c r="I60" s="32" t="str">
        <x:f>IF(B60="","",IF(COUNTIFS('Anomalies'!$C$19:$C$23,B60,'Anomalies'!$D$19:$D$23,"Quantite",'Anomalies'!$F$19:$F$23,"OUI")=1,SUMIFS('Anomalies'!$E$19:$E$23,'Anomalies'!$C$19:$C$23,B60,'Anomalies'!$D$19:$D$23,"Quantite",'Anomalies'!$F$19:$F$23,"OUI"),'Transactions'!I60))</x:f>
      </x:c>
      <x:c r="J60" s="32" t="str">
        <x:f>IF('Transactions'!B60="","",'Transactions'!J60)</x:f>
      </x:c>
      <x:c r="K60" s="32" t="str">
        <x:f>IF('Transactions'!B60="","",'Transactions'!K60)</x:f>
      </x:c>
      <x:c r="L60" s="30" t="n">
        <x:f>IF(B60="",0,IF(COUNTIFS('Anomalies'!$C$19:$C$23,B60,'Anomalies'!$D$19:$D$23,"Exclure",'Anomalies'!$F$19:$F$23,"OUI")&gt;0,0,1))</x:f>
        <x:v>0</x:v>
      </x:c>
      <x:c r="M60" s="30" t="str">
        <x:f>IF(B60="","",IF(H60="ACHAT",I60,-I60)*L60)</x:f>
      </x:c>
      <x:c r="N60" s="32" t="str">
        <x:f>IF(B60="","",ROUND(IF(H60="ACHAT",-I60*J60-K60,I60*J60-K60)*L60,2))</x:f>
      </x:c>
      <x:c r="O60" s="30" t="str">
        <x:f>IF(B60="","",COUNTIFS($C$7:$C$76,C60,$L$7:$L$76,1))</x:f>
      </x:c>
      <x:c r="P60" s="30" t="n">
        <x:f>IF(OR(B60="",L60=0),0,IF(AND(COUNTIFS($B$7:$B$76,B60,$L$7:$L$76,1)=1,C60&lt;&gt;"",'Transactions'!L60="EUR",ISNUMBER(D60),D60&gt;0,ISNUMBER(E60),E60&gt;=D60,OR(F60=0,AND(ISNUMBER(F60),F60&gt;=D60)),COUNTIFS('Marché'!$J$7:$J$11,G60)=1,OR(H60="ACHAT",H60="VENTE"),ISNUMBER(I60),I60&gt;0,ISNUMBER(J60),J60&gt;0,ISNUMBER(K60),K60&gt;=0),0,1))</x:f>
        <x:v>0</x:v>
      </x:c>
      <x:c r="Q60" s="30" t="n">
        <x:f>IF(OR(B60="",L60=0),0,IF(COUNTIFS('Dépositaire'!$C$7:$C$66,C60)=1,0,1))</x:f>
        <x:v>0</x:v>
      </x:c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30" t="str">
        <x:f>IF('Transactions'!B61="","",'Transactions'!B61)</x:f>
      </x:c>
      <x:c r="C61" s="30" t="str">
        <x:f>IF('Transactions'!B61="","",'Transactions'!C61)</x:f>
      </x:c>
      <x:c r="D61" s="31" t="str">
        <x:f>IF('Transactions'!B61="","",'Transactions'!D61)</x:f>
      </x:c>
      <x:c r="E61" s="31" t="str">
        <x:f>IF('Transactions'!B61="","",'Transactions'!E61)</x:f>
      </x:c>
      <x:c r="F61" s="31" t="str">
        <x:f>IF('Transactions'!B61="","",IF('Transactions'!F61="",0,'Transactions'!F61))</x:f>
      </x:c>
      <x:c r="G61" s="30" t="str">
        <x:f>IF('Transactions'!B61="","",'Transactions'!G61)</x:f>
      </x:c>
      <x:c r="H61" s="30" t="str">
        <x:f>IF('Transactions'!B61="","",'Transactions'!H61)</x:f>
      </x:c>
      <x:c r="I61" s="32" t="str">
        <x:f>IF(B61="","",IF(COUNTIFS('Anomalies'!$C$19:$C$23,B61,'Anomalies'!$D$19:$D$23,"Quantite",'Anomalies'!$F$19:$F$23,"OUI")=1,SUMIFS('Anomalies'!$E$19:$E$23,'Anomalies'!$C$19:$C$23,B61,'Anomalies'!$D$19:$D$23,"Quantite",'Anomalies'!$F$19:$F$23,"OUI"),'Transactions'!I61))</x:f>
      </x:c>
      <x:c r="J61" s="32" t="str">
        <x:f>IF('Transactions'!B61="","",'Transactions'!J61)</x:f>
      </x:c>
      <x:c r="K61" s="32" t="str">
        <x:f>IF('Transactions'!B61="","",'Transactions'!K61)</x:f>
      </x:c>
      <x:c r="L61" s="30" t="n">
        <x:f>IF(B61="",0,IF(COUNTIFS('Anomalies'!$C$19:$C$23,B61,'Anomalies'!$D$19:$D$23,"Exclure",'Anomalies'!$F$19:$F$23,"OUI")&gt;0,0,1))</x:f>
        <x:v>0</x:v>
      </x:c>
      <x:c r="M61" s="30" t="str">
        <x:f>IF(B61="","",IF(H61="ACHAT",I61,-I61)*L61)</x:f>
      </x:c>
      <x:c r="N61" s="32" t="str">
        <x:f>IF(B61="","",ROUND(IF(H61="ACHAT",-I61*J61-K61,I61*J61-K61)*L61,2))</x:f>
      </x:c>
      <x:c r="O61" s="30" t="str">
        <x:f>IF(B61="","",COUNTIFS($C$7:$C$76,C61,$L$7:$L$76,1))</x:f>
      </x:c>
      <x:c r="P61" s="30" t="n">
        <x:f>IF(OR(B61="",L61=0),0,IF(AND(COUNTIFS($B$7:$B$76,B61,$L$7:$L$76,1)=1,C61&lt;&gt;"",'Transactions'!L61="EUR",ISNUMBER(D61),D61&gt;0,ISNUMBER(E61),E61&gt;=D61,OR(F61=0,AND(ISNUMBER(F61),F61&gt;=D61)),COUNTIFS('Marché'!$J$7:$J$11,G61)=1,OR(H61="ACHAT",H61="VENTE"),ISNUMBER(I61),I61&gt;0,ISNUMBER(J61),J61&gt;0,ISNUMBER(K61),K61&gt;=0),0,1))</x:f>
        <x:v>0</x:v>
      </x:c>
      <x:c r="Q61" s="30" t="n">
        <x:f>IF(OR(B61="",L61=0),0,IF(COUNTIFS('Dépositaire'!$C$7:$C$66,C61)=1,0,1))</x:f>
        <x:v>0</x:v>
      </x:c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30" t="str">
        <x:f>IF('Transactions'!B62="","",'Transactions'!B62)</x:f>
      </x:c>
      <x:c r="C62" s="30" t="str">
        <x:f>IF('Transactions'!B62="","",'Transactions'!C62)</x:f>
      </x:c>
      <x:c r="D62" s="31" t="str">
        <x:f>IF('Transactions'!B62="","",'Transactions'!D62)</x:f>
      </x:c>
      <x:c r="E62" s="31" t="str">
        <x:f>IF('Transactions'!B62="","",'Transactions'!E62)</x:f>
      </x:c>
      <x:c r="F62" s="31" t="str">
        <x:f>IF('Transactions'!B62="","",IF('Transactions'!F62="",0,'Transactions'!F62))</x:f>
      </x:c>
      <x:c r="G62" s="30" t="str">
        <x:f>IF('Transactions'!B62="","",'Transactions'!G62)</x:f>
      </x:c>
      <x:c r="H62" s="30" t="str">
        <x:f>IF('Transactions'!B62="","",'Transactions'!H62)</x:f>
      </x:c>
      <x:c r="I62" s="32" t="str">
        <x:f>IF(B62="","",IF(COUNTIFS('Anomalies'!$C$19:$C$23,B62,'Anomalies'!$D$19:$D$23,"Quantite",'Anomalies'!$F$19:$F$23,"OUI")=1,SUMIFS('Anomalies'!$E$19:$E$23,'Anomalies'!$C$19:$C$23,B62,'Anomalies'!$D$19:$D$23,"Quantite",'Anomalies'!$F$19:$F$23,"OUI"),'Transactions'!I62))</x:f>
      </x:c>
      <x:c r="J62" s="32" t="str">
        <x:f>IF('Transactions'!B62="","",'Transactions'!J62)</x:f>
      </x:c>
      <x:c r="K62" s="32" t="str">
        <x:f>IF('Transactions'!B62="","",'Transactions'!K62)</x:f>
      </x:c>
      <x:c r="L62" s="30" t="n">
        <x:f>IF(B62="",0,IF(COUNTIFS('Anomalies'!$C$19:$C$23,B62,'Anomalies'!$D$19:$D$23,"Exclure",'Anomalies'!$F$19:$F$23,"OUI")&gt;0,0,1))</x:f>
        <x:v>0</x:v>
      </x:c>
      <x:c r="M62" s="30" t="str">
        <x:f>IF(B62="","",IF(H62="ACHAT",I62,-I62)*L62)</x:f>
      </x:c>
      <x:c r="N62" s="32" t="str">
        <x:f>IF(B62="","",ROUND(IF(H62="ACHAT",-I62*J62-K62,I62*J62-K62)*L62,2))</x:f>
      </x:c>
      <x:c r="O62" s="30" t="str">
        <x:f>IF(B62="","",COUNTIFS($C$7:$C$76,C62,$L$7:$L$76,1))</x:f>
      </x:c>
      <x:c r="P62" s="30" t="n">
        <x:f>IF(OR(B62="",L62=0),0,IF(AND(COUNTIFS($B$7:$B$76,B62,$L$7:$L$76,1)=1,C62&lt;&gt;"",'Transactions'!L62="EUR",ISNUMBER(D62),D62&gt;0,ISNUMBER(E62),E62&gt;=D62,OR(F62=0,AND(ISNUMBER(F62),F62&gt;=D62)),COUNTIFS('Marché'!$J$7:$J$11,G62)=1,OR(H62="ACHAT",H62="VENTE"),ISNUMBER(I62),I62&gt;0,ISNUMBER(J62),J62&gt;0,ISNUMBER(K62),K62&gt;=0),0,1))</x:f>
        <x:v>0</x:v>
      </x:c>
      <x:c r="Q62" s="30" t="n">
        <x:f>IF(OR(B62="",L62=0),0,IF(COUNTIFS('Dépositaire'!$C$7:$C$66,C62)=1,0,1))</x:f>
        <x:v>0</x:v>
      </x:c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30" t="str">
        <x:f>IF('Transactions'!B63="","",'Transactions'!B63)</x:f>
      </x:c>
      <x:c r="C63" s="30" t="str">
        <x:f>IF('Transactions'!B63="","",'Transactions'!C63)</x:f>
      </x:c>
      <x:c r="D63" s="31" t="str">
        <x:f>IF('Transactions'!B63="","",'Transactions'!D63)</x:f>
      </x:c>
      <x:c r="E63" s="31" t="str">
        <x:f>IF('Transactions'!B63="","",'Transactions'!E63)</x:f>
      </x:c>
      <x:c r="F63" s="31" t="str">
        <x:f>IF('Transactions'!B63="","",IF('Transactions'!F63="",0,'Transactions'!F63))</x:f>
      </x:c>
      <x:c r="G63" s="30" t="str">
        <x:f>IF('Transactions'!B63="","",'Transactions'!G63)</x:f>
      </x:c>
      <x:c r="H63" s="30" t="str">
        <x:f>IF('Transactions'!B63="","",'Transactions'!H63)</x:f>
      </x:c>
      <x:c r="I63" s="32" t="str">
        <x:f>IF(B63="","",IF(COUNTIFS('Anomalies'!$C$19:$C$23,B63,'Anomalies'!$D$19:$D$23,"Quantite",'Anomalies'!$F$19:$F$23,"OUI")=1,SUMIFS('Anomalies'!$E$19:$E$23,'Anomalies'!$C$19:$C$23,B63,'Anomalies'!$D$19:$D$23,"Quantite",'Anomalies'!$F$19:$F$23,"OUI"),'Transactions'!I63))</x:f>
      </x:c>
      <x:c r="J63" s="32" t="str">
        <x:f>IF('Transactions'!B63="","",'Transactions'!J63)</x:f>
      </x:c>
      <x:c r="K63" s="32" t="str">
        <x:f>IF('Transactions'!B63="","",'Transactions'!K63)</x:f>
      </x:c>
      <x:c r="L63" s="30" t="n">
        <x:f>IF(B63="",0,IF(COUNTIFS('Anomalies'!$C$19:$C$23,B63,'Anomalies'!$D$19:$D$23,"Exclure",'Anomalies'!$F$19:$F$23,"OUI")&gt;0,0,1))</x:f>
        <x:v>0</x:v>
      </x:c>
      <x:c r="M63" s="30" t="str">
        <x:f>IF(B63="","",IF(H63="ACHAT",I63,-I63)*L63)</x:f>
      </x:c>
      <x:c r="N63" s="32" t="str">
        <x:f>IF(B63="","",ROUND(IF(H63="ACHAT",-I63*J63-K63,I63*J63-K63)*L63,2))</x:f>
      </x:c>
      <x:c r="O63" s="30" t="str">
        <x:f>IF(B63="","",COUNTIFS($C$7:$C$76,C63,$L$7:$L$76,1))</x:f>
      </x:c>
      <x:c r="P63" s="30" t="n">
        <x:f>IF(OR(B63="",L63=0),0,IF(AND(COUNTIFS($B$7:$B$76,B63,$L$7:$L$76,1)=1,C63&lt;&gt;"",'Transactions'!L63="EUR",ISNUMBER(D63),D63&gt;0,ISNUMBER(E63),E63&gt;=D63,OR(F63=0,AND(ISNUMBER(F63),F63&gt;=D63)),COUNTIFS('Marché'!$J$7:$J$11,G63)=1,OR(H63="ACHAT",H63="VENTE"),ISNUMBER(I63),I63&gt;0,ISNUMBER(J63),J63&gt;0,ISNUMBER(K63),K63&gt;=0),0,1))</x:f>
        <x:v>0</x:v>
      </x:c>
      <x:c r="Q63" s="30" t="n">
        <x:f>IF(OR(B63="",L63=0),0,IF(COUNTIFS('Dépositaire'!$C$7:$C$66,C63)=1,0,1))</x:f>
        <x:v>0</x:v>
      </x:c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30" t="str">
        <x:f>IF('Transactions'!B64="","",'Transactions'!B64)</x:f>
      </x:c>
      <x:c r="C64" s="30" t="str">
        <x:f>IF('Transactions'!B64="","",'Transactions'!C64)</x:f>
      </x:c>
      <x:c r="D64" s="31" t="str">
        <x:f>IF('Transactions'!B64="","",'Transactions'!D64)</x:f>
      </x:c>
      <x:c r="E64" s="31" t="str">
        <x:f>IF('Transactions'!B64="","",'Transactions'!E64)</x:f>
      </x:c>
      <x:c r="F64" s="31" t="str">
        <x:f>IF('Transactions'!B64="","",IF('Transactions'!F64="",0,'Transactions'!F64))</x:f>
      </x:c>
      <x:c r="G64" s="30" t="str">
        <x:f>IF('Transactions'!B64="","",'Transactions'!G64)</x:f>
      </x:c>
      <x:c r="H64" s="30" t="str">
        <x:f>IF('Transactions'!B64="","",'Transactions'!H64)</x:f>
      </x:c>
      <x:c r="I64" s="32" t="str">
        <x:f>IF(B64="","",IF(COUNTIFS('Anomalies'!$C$19:$C$23,B64,'Anomalies'!$D$19:$D$23,"Quantite",'Anomalies'!$F$19:$F$23,"OUI")=1,SUMIFS('Anomalies'!$E$19:$E$23,'Anomalies'!$C$19:$C$23,B64,'Anomalies'!$D$19:$D$23,"Quantite",'Anomalies'!$F$19:$F$23,"OUI"),'Transactions'!I64))</x:f>
      </x:c>
      <x:c r="J64" s="32" t="str">
        <x:f>IF('Transactions'!B64="","",'Transactions'!J64)</x:f>
      </x:c>
      <x:c r="K64" s="32" t="str">
        <x:f>IF('Transactions'!B64="","",'Transactions'!K64)</x:f>
      </x:c>
      <x:c r="L64" s="30" t="n">
        <x:f>IF(B64="",0,IF(COUNTIFS('Anomalies'!$C$19:$C$23,B64,'Anomalies'!$D$19:$D$23,"Exclure",'Anomalies'!$F$19:$F$23,"OUI")&gt;0,0,1))</x:f>
        <x:v>0</x:v>
      </x:c>
      <x:c r="M64" s="30" t="str">
        <x:f>IF(B64="","",IF(H64="ACHAT",I64,-I64)*L64)</x:f>
      </x:c>
      <x:c r="N64" s="32" t="str">
        <x:f>IF(B64="","",ROUND(IF(H64="ACHAT",-I64*J64-K64,I64*J64-K64)*L64,2))</x:f>
      </x:c>
      <x:c r="O64" s="30" t="str">
        <x:f>IF(B64="","",COUNTIFS($C$7:$C$76,C64,$L$7:$L$76,1))</x:f>
      </x:c>
      <x:c r="P64" s="30" t="n">
        <x:f>IF(OR(B64="",L64=0),0,IF(AND(COUNTIFS($B$7:$B$76,B64,$L$7:$L$76,1)=1,C64&lt;&gt;"",'Transactions'!L64="EUR",ISNUMBER(D64),D64&gt;0,ISNUMBER(E64),E64&gt;=D64,OR(F64=0,AND(ISNUMBER(F64),F64&gt;=D64)),COUNTIFS('Marché'!$J$7:$J$11,G64)=1,OR(H64="ACHAT",H64="VENTE"),ISNUMBER(I64),I64&gt;0,ISNUMBER(J64),J64&gt;0,ISNUMBER(K64),K64&gt;=0),0,1))</x:f>
        <x:v>0</x:v>
      </x:c>
      <x:c r="Q64" s="30" t="n">
        <x:f>IF(OR(B64="",L64=0),0,IF(COUNTIFS('Dépositaire'!$C$7:$C$66,C64)=1,0,1))</x:f>
        <x:v>0</x:v>
      </x:c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30" t="str">
        <x:f>IF('Transactions'!B65="","",'Transactions'!B65)</x:f>
      </x:c>
      <x:c r="C65" s="30" t="str">
        <x:f>IF('Transactions'!B65="","",'Transactions'!C65)</x:f>
      </x:c>
      <x:c r="D65" s="31" t="str">
        <x:f>IF('Transactions'!B65="","",'Transactions'!D65)</x:f>
      </x:c>
      <x:c r="E65" s="31" t="str">
        <x:f>IF('Transactions'!B65="","",'Transactions'!E65)</x:f>
      </x:c>
      <x:c r="F65" s="31" t="str">
        <x:f>IF('Transactions'!B65="","",IF('Transactions'!F65="",0,'Transactions'!F65))</x:f>
      </x:c>
      <x:c r="G65" s="30" t="str">
        <x:f>IF('Transactions'!B65="","",'Transactions'!G65)</x:f>
      </x:c>
      <x:c r="H65" s="30" t="str">
        <x:f>IF('Transactions'!B65="","",'Transactions'!H65)</x:f>
      </x:c>
      <x:c r="I65" s="32" t="str">
        <x:f>IF(B65="","",IF(COUNTIFS('Anomalies'!$C$19:$C$23,B65,'Anomalies'!$D$19:$D$23,"Quantite",'Anomalies'!$F$19:$F$23,"OUI")=1,SUMIFS('Anomalies'!$E$19:$E$23,'Anomalies'!$C$19:$C$23,B65,'Anomalies'!$D$19:$D$23,"Quantite",'Anomalies'!$F$19:$F$23,"OUI"),'Transactions'!I65))</x:f>
      </x:c>
      <x:c r="J65" s="32" t="str">
        <x:f>IF('Transactions'!B65="","",'Transactions'!J65)</x:f>
      </x:c>
      <x:c r="K65" s="32" t="str">
        <x:f>IF('Transactions'!B65="","",'Transactions'!K65)</x:f>
      </x:c>
      <x:c r="L65" s="30" t="n">
        <x:f>IF(B65="",0,IF(COUNTIFS('Anomalies'!$C$19:$C$23,B65,'Anomalies'!$D$19:$D$23,"Exclure",'Anomalies'!$F$19:$F$23,"OUI")&gt;0,0,1))</x:f>
        <x:v>0</x:v>
      </x:c>
      <x:c r="M65" s="30" t="str">
        <x:f>IF(B65="","",IF(H65="ACHAT",I65,-I65)*L65)</x:f>
      </x:c>
      <x:c r="N65" s="32" t="str">
        <x:f>IF(B65="","",ROUND(IF(H65="ACHAT",-I65*J65-K65,I65*J65-K65)*L65,2))</x:f>
      </x:c>
      <x:c r="O65" s="30" t="str">
        <x:f>IF(B65="","",COUNTIFS($C$7:$C$76,C65,$L$7:$L$76,1))</x:f>
      </x:c>
      <x:c r="P65" s="30" t="n">
        <x:f>IF(OR(B65="",L65=0),0,IF(AND(COUNTIFS($B$7:$B$76,B65,$L$7:$L$76,1)=1,C65&lt;&gt;"",'Transactions'!L65="EUR",ISNUMBER(D65),D65&gt;0,ISNUMBER(E65),E65&gt;=D65,OR(F65=0,AND(ISNUMBER(F65),F65&gt;=D65)),COUNTIFS('Marché'!$J$7:$J$11,G65)=1,OR(H65="ACHAT",H65="VENTE"),ISNUMBER(I65),I65&gt;0,ISNUMBER(J65),J65&gt;0,ISNUMBER(K65),K65&gt;=0),0,1))</x:f>
        <x:v>0</x:v>
      </x:c>
      <x:c r="Q65" s="30" t="n">
        <x:f>IF(OR(B65="",L65=0),0,IF(COUNTIFS('Dépositaire'!$C$7:$C$66,C65)=1,0,1))</x:f>
        <x:v>0</x:v>
      </x:c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30" t="str">
        <x:f>IF('Transactions'!B66="","",'Transactions'!B66)</x:f>
      </x:c>
      <x:c r="C66" s="30" t="str">
        <x:f>IF('Transactions'!B66="","",'Transactions'!C66)</x:f>
      </x:c>
      <x:c r="D66" s="31" t="str">
        <x:f>IF('Transactions'!B66="","",'Transactions'!D66)</x:f>
      </x:c>
      <x:c r="E66" s="31" t="str">
        <x:f>IF('Transactions'!B66="","",'Transactions'!E66)</x:f>
      </x:c>
      <x:c r="F66" s="31" t="str">
        <x:f>IF('Transactions'!B66="","",IF('Transactions'!F66="",0,'Transactions'!F66))</x:f>
      </x:c>
      <x:c r="G66" s="30" t="str">
        <x:f>IF('Transactions'!B66="","",'Transactions'!G66)</x:f>
      </x:c>
      <x:c r="H66" s="30" t="str">
        <x:f>IF('Transactions'!B66="","",'Transactions'!H66)</x:f>
      </x:c>
      <x:c r="I66" s="32" t="str">
        <x:f>IF(B66="","",IF(COUNTIFS('Anomalies'!$C$19:$C$23,B66,'Anomalies'!$D$19:$D$23,"Quantite",'Anomalies'!$F$19:$F$23,"OUI")=1,SUMIFS('Anomalies'!$E$19:$E$23,'Anomalies'!$C$19:$C$23,B66,'Anomalies'!$D$19:$D$23,"Quantite",'Anomalies'!$F$19:$F$23,"OUI"),'Transactions'!I66))</x:f>
      </x:c>
      <x:c r="J66" s="32" t="str">
        <x:f>IF('Transactions'!B66="","",'Transactions'!J66)</x:f>
      </x:c>
      <x:c r="K66" s="32" t="str">
        <x:f>IF('Transactions'!B66="","",'Transactions'!K66)</x:f>
      </x:c>
      <x:c r="L66" s="30" t="n">
        <x:f>IF(B66="",0,IF(COUNTIFS('Anomalies'!$C$19:$C$23,B66,'Anomalies'!$D$19:$D$23,"Exclure",'Anomalies'!$F$19:$F$23,"OUI")&gt;0,0,1))</x:f>
        <x:v>0</x:v>
      </x:c>
      <x:c r="M66" s="30" t="str">
        <x:f>IF(B66="","",IF(H66="ACHAT",I66,-I66)*L66)</x:f>
      </x:c>
      <x:c r="N66" s="32" t="str">
        <x:f>IF(B66="","",ROUND(IF(H66="ACHAT",-I66*J66-K66,I66*J66-K66)*L66,2))</x:f>
      </x:c>
      <x:c r="O66" s="30" t="str">
        <x:f>IF(B66="","",COUNTIFS($C$7:$C$76,C66,$L$7:$L$76,1))</x:f>
      </x:c>
      <x:c r="P66" s="30" t="n">
        <x:f>IF(OR(B66="",L66=0),0,IF(AND(COUNTIFS($B$7:$B$76,B66,$L$7:$L$76,1)=1,C66&lt;&gt;"",'Transactions'!L66="EUR",ISNUMBER(D66),D66&gt;0,ISNUMBER(E66),E66&gt;=D66,OR(F66=0,AND(ISNUMBER(F66),F66&gt;=D66)),COUNTIFS('Marché'!$J$7:$J$11,G66)=1,OR(H66="ACHAT",H66="VENTE"),ISNUMBER(I66),I66&gt;0,ISNUMBER(J66),J66&gt;0,ISNUMBER(K66),K66&gt;=0),0,1))</x:f>
        <x:v>0</x:v>
      </x:c>
      <x:c r="Q66" s="30" t="n">
        <x:f>IF(OR(B66="",L66=0),0,IF(COUNTIFS('Dépositaire'!$C$7:$C$66,C66)=1,0,1))</x:f>
        <x:v>0</x:v>
      </x:c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30" t="str">
        <x:f>IF('Anomalies'!B33="","",'Anomalies'!B33)</x:f>
        <x:v>REC-016</x:v>
      </x:c>
      <x:c r="C67" s="30" t="str">
        <x:f>IF('Anomalies'!B33="","",'Anomalies'!C33)</x:f>
        <x:v>TR-016</x:v>
      </x:c>
      <x:c r="D67" s="31" t="n">
        <x:f>IF('Anomalies'!B33="","",'Anomalies'!D33)</x:f>
        <x:v>46286</x:v>
      </x:c>
      <x:c r="E67" s="31" t="n">
        <x:f>IF('Anomalies'!B33="","",'Anomalies'!E33)</x:f>
        <x:v>46288</x:v>
      </x:c>
      <x:c r="F67" s="31" t="n">
        <x:f>IF('Anomalies'!B33="","",IF('Anomalies'!F33="",0,'Anomalies'!F33))</x:f>
        <x:v>46288</x:v>
      </x:c>
      <x:c r="G67" s="30" t="str">
        <x:f>IF('Anomalies'!B33="","",'Anomalies'!G33)</x:f>
        <x:v>FR0000120073</x:v>
      </x:c>
      <x:c r="H67" s="30" t="str">
        <x:f>IF('Anomalies'!B33="","",'Anomalies'!H33)</x:f>
        <x:v>ACHAT</x:v>
      </x:c>
      <x:c r="I67" s="32" t="n">
        <x:f>IF(B67="","",IF(COUNTIFS('Anomalies'!$C$19:$C$23,B67,'Anomalies'!$D$19:$D$23,"Quantite",'Anomalies'!$F$19:$F$23,"OUI")=1,SUMIFS('Anomalies'!$E$19:$E$23,'Anomalies'!$C$19:$C$23,B67,'Anomalies'!$D$19:$D$23,"Quantite",'Anomalies'!$F$19:$F$23,"OUI"),'Anomalies'!I33))</x:f>
        <x:v>70</x:v>
      </x:c>
      <x:c r="J67" s="32" t="n">
        <x:f>IF('Anomalies'!B33="","",'Anomalies'!J33)</x:f>
        <x:v>166.68</x:v>
      </x:c>
      <x:c r="K67" s="32" t="n">
        <x:f>IF('Anomalies'!B33="","",'Anomalies'!K33)</x:f>
        <x:v>5</x:v>
      </x:c>
      <x:c r="L67" s="30" t="n">
        <x:f>IF(B67="",0,IF(COUNTIFS('Anomalies'!$C$19:$C$23,B67,'Anomalies'!$D$19:$D$23,"Exclure",'Anomalies'!$F$19:$F$23,"OUI")&gt;0,0,IF(COUNTIFS('Anomalies'!$C$19:$C$23,B67,'Anomalies'!$D$19:$D$23,"Ajout",'Anomalies'!$F$19:$F$23,"OUI")=1,1,0)))</x:f>
        <x:v>1</x:v>
      </x:c>
      <x:c r="M67" s="30" t="n">
        <x:f>IF(B67="","",IF(H67="ACHAT",I67,-I67)*L67)</x:f>
        <x:v>70</x:v>
      </x:c>
      <x:c r="N67" s="32" t="n">
        <x:f>IF(B67="","",ROUND(IF(H67="ACHAT",-I67*J67-K67,I67*J67-K67)*L67,2))</x:f>
        <x:v>-11672.6</x:v>
      </x:c>
      <x:c r="O67" s="30" t="n">
        <x:f>IF(B67="","",COUNTIFS($C$7:$C$76,C67,$L$7:$L$76,1))</x:f>
        <x:v>1</x:v>
      </x:c>
      <x:c r="P67" s="30" t="n">
        <x:f>IF(OR(B67="",L67=0),0,IF(AND(COUNTIFS($B$7:$B$76,B67,$L$7:$L$76,1)=1,C67&lt;&gt;"",'Anomalies'!L33="EUR",ISNUMBER(D67),D67&gt;0,ISNUMBER(E67),E67&gt;=D67,OR(F67=0,AND(ISNUMBER(F67),F67&gt;=D67)),COUNTIFS('Marché'!$J$7:$J$11,G67)=1,OR(H67="ACHAT",H67="VENTE"),ISNUMBER(I67),I67&gt;0,ISNUMBER(J67),J67&gt;0,ISNUMBER(K67),K67&gt;=0),0,1))</x:f>
        <x:v>0</x:v>
      </x:c>
      <x:c r="Q67" s="30" t="n">
        <x:f>IF(OR(B67="",L67=0),0,IF(COUNTIFS('Dépositaire'!$C$7:$C$66,C67)=1,0,1))</x:f>
        <x:v>0</x:v>
      </x:c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30" t="str">
        <x:f>IF('Anomalies'!B34="","",'Anomalies'!B34)</x:f>
      </x:c>
      <x:c r="C68" s="30" t="str">
        <x:f>IF('Anomalies'!B34="","",'Anomalies'!C34)</x:f>
      </x:c>
      <x:c r="D68" s="31" t="str">
        <x:f>IF('Anomalies'!B34="","",'Anomalies'!D34)</x:f>
      </x:c>
      <x:c r="E68" s="31" t="str">
        <x:f>IF('Anomalies'!B34="","",'Anomalies'!E34)</x:f>
      </x:c>
      <x:c r="F68" s="31" t="str">
        <x:f>IF('Anomalies'!B34="","",IF('Anomalies'!F34="",0,'Anomalies'!F34))</x:f>
      </x:c>
      <x:c r="G68" s="30" t="str">
        <x:f>IF('Anomalies'!B34="","",'Anomalies'!G34)</x:f>
      </x:c>
      <x:c r="H68" s="30" t="str">
        <x:f>IF('Anomalies'!B34="","",'Anomalies'!H34)</x:f>
      </x:c>
      <x:c r="I68" s="32" t="str">
        <x:f>IF(B68="","",IF(COUNTIFS('Anomalies'!$C$19:$C$23,B68,'Anomalies'!$D$19:$D$23,"Quantite",'Anomalies'!$F$19:$F$23,"OUI")=1,SUMIFS('Anomalies'!$E$19:$E$23,'Anomalies'!$C$19:$C$23,B68,'Anomalies'!$D$19:$D$23,"Quantite",'Anomalies'!$F$19:$F$23,"OUI"),'Anomalies'!I34))</x:f>
      </x:c>
      <x:c r="J68" s="32" t="str">
        <x:f>IF('Anomalies'!B34="","",'Anomalies'!J34)</x:f>
      </x:c>
      <x:c r="K68" s="32" t="str">
        <x:f>IF('Anomalies'!B34="","",'Anomalies'!K34)</x:f>
      </x:c>
      <x:c r="L68" s="30" t="n">
        <x:f>IF(B68="",0,IF(COUNTIFS('Anomalies'!$C$19:$C$23,B68,'Anomalies'!$D$19:$D$23,"Exclure",'Anomalies'!$F$19:$F$23,"OUI")&gt;0,0,IF(COUNTIFS('Anomalies'!$C$19:$C$23,B68,'Anomalies'!$D$19:$D$23,"Ajout",'Anomalies'!$F$19:$F$23,"OUI")=1,1,0)))</x:f>
        <x:v>0</x:v>
      </x:c>
      <x:c r="M68" s="30" t="str">
        <x:f>IF(B68="","",IF(H68="ACHAT",I68,-I68)*L68)</x:f>
      </x:c>
      <x:c r="N68" s="32" t="str">
        <x:f>IF(B68="","",ROUND(IF(H68="ACHAT",-I68*J68-K68,I68*J68-K68)*L68,2))</x:f>
      </x:c>
      <x:c r="O68" s="30" t="str">
        <x:f>IF(B68="","",COUNTIFS($C$7:$C$76,C68,$L$7:$L$76,1))</x:f>
      </x:c>
      <x:c r="P68" s="30" t="n">
        <x:f>IF(OR(B68="",L68=0),0,IF(AND(COUNTIFS($B$7:$B$76,B68,$L$7:$L$76,1)=1,C68&lt;&gt;"",'Anomalies'!L34="EUR",ISNUMBER(D68),D68&gt;0,ISNUMBER(E68),E68&gt;=D68,OR(F68=0,AND(ISNUMBER(F68),F68&gt;=D68)),COUNTIFS('Marché'!$J$7:$J$11,G68)=1,OR(H68="ACHAT",H68="VENTE"),ISNUMBER(I68),I68&gt;0,ISNUMBER(J68),J68&gt;0,ISNUMBER(K68),K68&gt;=0),0,1))</x:f>
        <x:v>0</x:v>
      </x:c>
      <x:c r="Q68" s="30" t="n">
        <x:f>IF(OR(B68="",L68=0),0,IF(COUNTIFS('Dépositaire'!$C$7:$C$66,C68)=1,0,1))</x:f>
        <x:v>0</x:v>
      </x:c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30" t="str">
        <x:f>IF('Anomalies'!B35="","",'Anomalies'!B35)</x:f>
      </x:c>
      <x:c r="C69" s="30" t="str">
        <x:f>IF('Anomalies'!B35="","",'Anomalies'!C35)</x:f>
      </x:c>
      <x:c r="D69" s="31" t="str">
        <x:f>IF('Anomalies'!B35="","",'Anomalies'!D35)</x:f>
      </x:c>
      <x:c r="E69" s="31" t="str">
        <x:f>IF('Anomalies'!B35="","",'Anomalies'!E35)</x:f>
      </x:c>
      <x:c r="F69" s="31" t="str">
        <x:f>IF('Anomalies'!B35="","",IF('Anomalies'!F35="",0,'Anomalies'!F35))</x:f>
      </x:c>
      <x:c r="G69" s="30" t="str">
        <x:f>IF('Anomalies'!B35="","",'Anomalies'!G35)</x:f>
      </x:c>
      <x:c r="H69" s="30" t="str">
        <x:f>IF('Anomalies'!B35="","",'Anomalies'!H35)</x:f>
      </x:c>
      <x:c r="I69" s="32" t="str">
        <x:f>IF(B69="","",IF(COUNTIFS('Anomalies'!$C$19:$C$23,B69,'Anomalies'!$D$19:$D$23,"Quantite",'Anomalies'!$F$19:$F$23,"OUI")=1,SUMIFS('Anomalies'!$E$19:$E$23,'Anomalies'!$C$19:$C$23,B69,'Anomalies'!$D$19:$D$23,"Quantite",'Anomalies'!$F$19:$F$23,"OUI"),'Anomalies'!I35))</x:f>
      </x:c>
      <x:c r="J69" s="32" t="str">
        <x:f>IF('Anomalies'!B35="","",'Anomalies'!J35)</x:f>
      </x:c>
      <x:c r="K69" s="32" t="str">
        <x:f>IF('Anomalies'!B35="","",'Anomalies'!K35)</x:f>
      </x:c>
      <x:c r="L69" s="30" t="n">
        <x:f>IF(B69="",0,IF(COUNTIFS('Anomalies'!$C$19:$C$23,B69,'Anomalies'!$D$19:$D$23,"Exclure",'Anomalies'!$F$19:$F$23,"OUI")&gt;0,0,IF(COUNTIFS('Anomalies'!$C$19:$C$23,B69,'Anomalies'!$D$19:$D$23,"Ajout",'Anomalies'!$F$19:$F$23,"OUI")=1,1,0)))</x:f>
        <x:v>0</x:v>
      </x:c>
      <x:c r="M69" s="30" t="str">
        <x:f>IF(B69="","",IF(H69="ACHAT",I69,-I69)*L69)</x:f>
      </x:c>
      <x:c r="N69" s="32" t="str">
        <x:f>IF(B69="","",ROUND(IF(H69="ACHAT",-I69*J69-K69,I69*J69-K69)*L69,2))</x:f>
      </x:c>
      <x:c r="O69" s="30" t="str">
        <x:f>IF(B69="","",COUNTIFS($C$7:$C$76,C69,$L$7:$L$76,1))</x:f>
      </x:c>
      <x:c r="P69" s="30" t="n">
        <x:f>IF(OR(B69="",L69=0),0,IF(AND(COUNTIFS($B$7:$B$76,B69,$L$7:$L$76,1)=1,C69&lt;&gt;"",'Anomalies'!L35="EUR",ISNUMBER(D69),D69&gt;0,ISNUMBER(E69),E69&gt;=D69,OR(F69=0,AND(ISNUMBER(F69),F69&gt;=D69)),COUNTIFS('Marché'!$J$7:$J$11,G69)=1,OR(H69="ACHAT",H69="VENTE"),ISNUMBER(I69),I69&gt;0,ISNUMBER(J69),J69&gt;0,ISNUMBER(K69),K69&gt;=0),0,1))</x:f>
        <x:v>0</x:v>
      </x:c>
      <x:c r="Q69" s="30" t="n">
        <x:f>IF(OR(B69="",L69=0),0,IF(COUNTIFS('Dépositaire'!$C$7:$C$66,C69)=1,0,1))</x:f>
        <x:v>0</x:v>
      </x:c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30" t="str">
        <x:f>IF('Anomalies'!B36="","",'Anomalies'!B36)</x:f>
      </x:c>
      <x:c r="C70" s="30" t="str">
        <x:f>IF('Anomalies'!B36="","",'Anomalies'!C36)</x:f>
      </x:c>
      <x:c r="D70" s="31" t="str">
        <x:f>IF('Anomalies'!B36="","",'Anomalies'!D36)</x:f>
      </x:c>
      <x:c r="E70" s="31" t="str">
        <x:f>IF('Anomalies'!B36="","",'Anomalies'!E36)</x:f>
      </x:c>
      <x:c r="F70" s="31" t="str">
        <x:f>IF('Anomalies'!B36="","",IF('Anomalies'!F36="",0,'Anomalies'!F36))</x:f>
      </x:c>
      <x:c r="G70" s="30" t="str">
        <x:f>IF('Anomalies'!B36="","",'Anomalies'!G36)</x:f>
      </x:c>
      <x:c r="H70" s="30" t="str">
        <x:f>IF('Anomalies'!B36="","",'Anomalies'!H36)</x:f>
      </x:c>
      <x:c r="I70" s="32" t="str">
        <x:f>IF(B70="","",IF(COUNTIFS('Anomalies'!$C$19:$C$23,B70,'Anomalies'!$D$19:$D$23,"Quantite",'Anomalies'!$F$19:$F$23,"OUI")=1,SUMIFS('Anomalies'!$E$19:$E$23,'Anomalies'!$C$19:$C$23,B70,'Anomalies'!$D$19:$D$23,"Quantite",'Anomalies'!$F$19:$F$23,"OUI"),'Anomalies'!I36))</x:f>
      </x:c>
      <x:c r="J70" s="32" t="str">
        <x:f>IF('Anomalies'!B36="","",'Anomalies'!J36)</x:f>
      </x:c>
      <x:c r="K70" s="32" t="str">
        <x:f>IF('Anomalies'!B36="","",'Anomalies'!K36)</x:f>
      </x:c>
      <x:c r="L70" s="30" t="n">
        <x:f>IF(B70="",0,IF(COUNTIFS('Anomalies'!$C$19:$C$23,B70,'Anomalies'!$D$19:$D$23,"Exclure",'Anomalies'!$F$19:$F$23,"OUI")&gt;0,0,IF(COUNTIFS('Anomalies'!$C$19:$C$23,B70,'Anomalies'!$D$19:$D$23,"Ajout",'Anomalies'!$F$19:$F$23,"OUI")=1,1,0)))</x:f>
        <x:v>0</x:v>
      </x:c>
      <x:c r="M70" s="30" t="str">
        <x:f>IF(B70="","",IF(H70="ACHAT",I70,-I70)*L70)</x:f>
      </x:c>
      <x:c r="N70" s="32" t="str">
        <x:f>IF(B70="","",ROUND(IF(H70="ACHAT",-I70*J70-K70,I70*J70-K70)*L70,2))</x:f>
      </x:c>
      <x:c r="O70" s="30" t="str">
        <x:f>IF(B70="","",COUNTIFS($C$7:$C$76,C70,$L$7:$L$76,1))</x:f>
      </x:c>
      <x:c r="P70" s="30" t="n">
        <x:f>IF(OR(B70="",L70=0),0,IF(AND(COUNTIFS($B$7:$B$76,B70,$L$7:$L$76,1)=1,C70&lt;&gt;"",'Anomalies'!L36="EUR",ISNUMBER(D70),D70&gt;0,ISNUMBER(E70),E70&gt;=D70,OR(F70=0,AND(ISNUMBER(F70),F70&gt;=D70)),COUNTIFS('Marché'!$J$7:$J$11,G70)=1,OR(H70="ACHAT",H70="VENTE"),ISNUMBER(I70),I70&gt;0,ISNUMBER(J70),J70&gt;0,ISNUMBER(K70),K70&gt;=0),0,1))</x:f>
        <x:v>0</x:v>
      </x:c>
      <x:c r="Q70" s="30" t="n">
        <x:f>IF(OR(B70="",L70=0),0,IF(COUNTIFS('Dépositaire'!$C$7:$C$66,C70)=1,0,1))</x:f>
        <x:v>0</x:v>
      </x:c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30" t="str">
        <x:f>IF('Anomalies'!B37="","",'Anomalies'!B37)</x:f>
      </x:c>
      <x:c r="C71" s="30" t="str">
        <x:f>IF('Anomalies'!B37="","",'Anomalies'!C37)</x:f>
      </x:c>
      <x:c r="D71" s="31" t="str">
        <x:f>IF('Anomalies'!B37="","",'Anomalies'!D37)</x:f>
      </x:c>
      <x:c r="E71" s="31" t="str">
        <x:f>IF('Anomalies'!B37="","",'Anomalies'!E37)</x:f>
      </x:c>
      <x:c r="F71" s="31" t="str">
        <x:f>IF('Anomalies'!B37="","",IF('Anomalies'!F37="",0,'Anomalies'!F37))</x:f>
      </x:c>
      <x:c r="G71" s="30" t="str">
        <x:f>IF('Anomalies'!B37="","",'Anomalies'!G37)</x:f>
      </x:c>
      <x:c r="H71" s="30" t="str">
        <x:f>IF('Anomalies'!B37="","",'Anomalies'!H37)</x:f>
      </x:c>
      <x:c r="I71" s="32" t="str">
        <x:f>IF(B71="","",IF(COUNTIFS('Anomalies'!$C$19:$C$23,B71,'Anomalies'!$D$19:$D$23,"Quantite",'Anomalies'!$F$19:$F$23,"OUI")=1,SUMIFS('Anomalies'!$E$19:$E$23,'Anomalies'!$C$19:$C$23,B71,'Anomalies'!$D$19:$D$23,"Quantite",'Anomalies'!$F$19:$F$23,"OUI"),'Anomalies'!I37))</x:f>
      </x:c>
      <x:c r="J71" s="32" t="str">
        <x:f>IF('Anomalies'!B37="","",'Anomalies'!J37)</x:f>
      </x:c>
      <x:c r="K71" s="32" t="str">
        <x:f>IF('Anomalies'!B37="","",'Anomalies'!K37)</x:f>
      </x:c>
      <x:c r="L71" s="30" t="n">
        <x:f>IF(B71="",0,IF(COUNTIFS('Anomalies'!$C$19:$C$23,B71,'Anomalies'!$D$19:$D$23,"Exclure",'Anomalies'!$F$19:$F$23,"OUI")&gt;0,0,IF(COUNTIFS('Anomalies'!$C$19:$C$23,B71,'Anomalies'!$D$19:$D$23,"Ajout",'Anomalies'!$F$19:$F$23,"OUI")=1,1,0)))</x:f>
        <x:v>0</x:v>
      </x:c>
      <x:c r="M71" s="30" t="str">
        <x:f>IF(B71="","",IF(H71="ACHAT",I71,-I71)*L71)</x:f>
      </x:c>
      <x:c r="N71" s="32" t="str">
        <x:f>IF(B71="","",ROUND(IF(H71="ACHAT",-I71*J71-K71,I71*J71-K71)*L71,2))</x:f>
      </x:c>
      <x:c r="O71" s="30" t="str">
        <x:f>IF(B71="","",COUNTIFS($C$7:$C$76,C71,$L$7:$L$76,1))</x:f>
      </x:c>
      <x:c r="P71" s="30" t="n">
        <x:f>IF(OR(B71="",L71=0),0,IF(AND(COUNTIFS($B$7:$B$76,B71,$L$7:$L$76,1)=1,C71&lt;&gt;"",'Anomalies'!L37="EUR",ISNUMBER(D71),D71&gt;0,ISNUMBER(E71),E71&gt;=D71,OR(F71=0,AND(ISNUMBER(F71),F71&gt;=D71)),COUNTIFS('Marché'!$J$7:$J$11,G71)=1,OR(H71="ACHAT",H71="VENTE"),ISNUMBER(I71),I71&gt;0,ISNUMBER(J71),J71&gt;0,ISNUMBER(K71),K71&gt;=0),0,1))</x:f>
        <x:v>0</x:v>
      </x:c>
      <x:c r="Q71" s="30" t="n">
        <x:f>IF(OR(B71="",L71=0),0,IF(COUNTIFS('Dépositaire'!$C$7:$C$66,C71)=1,0,1))</x:f>
        <x:v>0</x:v>
      </x:c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30" t="str">
        <x:f>IF('Anomalies'!B38="","",'Anomalies'!B38)</x:f>
      </x:c>
      <x:c r="C72" s="30" t="str">
        <x:f>IF('Anomalies'!B38="","",'Anomalies'!C38)</x:f>
      </x:c>
      <x:c r="D72" s="31" t="str">
        <x:f>IF('Anomalies'!B38="","",'Anomalies'!D38)</x:f>
      </x:c>
      <x:c r="E72" s="31" t="str">
        <x:f>IF('Anomalies'!B38="","",'Anomalies'!E38)</x:f>
      </x:c>
      <x:c r="F72" s="31" t="str">
        <x:f>IF('Anomalies'!B38="","",IF('Anomalies'!F38="",0,'Anomalies'!F38))</x:f>
      </x:c>
      <x:c r="G72" s="30" t="str">
        <x:f>IF('Anomalies'!B38="","",'Anomalies'!G38)</x:f>
      </x:c>
      <x:c r="H72" s="30" t="str">
        <x:f>IF('Anomalies'!B38="","",'Anomalies'!H38)</x:f>
      </x:c>
      <x:c r="I72" s="32" t="str">
        <x:f>IF(B72="","",IF(COUNTIFS('Anomalies'!$C$19:$C$23,B72,'Anomalies'!$D$19:$D$23,"Quantite",'Anomalies'!$F$19:$F$23,"OUI")=1,SUMIFS('Anomalies'!$E$19:$E$23,'Anomalies'!$C$19:$C$23,B72,'Anomalies'!$D$19:$D$23,"Quantite",'Anomalies'!$F$19:$F$23,"OUI"),'Anomalies'!I38))</x:f>
      </x:c>
      <x:c r="J72" s="32" t="str">
        <x:f>IF('Anomalies'!B38="","",'Anomalies'!J38)</x:f>
      </x:c>
      <x:c r="K72" s="32" t="str">
        <x:f>IF('Anomalies'!B38="","",'Anomalies'!K38)</x:f>
      </x:c>
      <x:c r="L72" s="30" t="n">
        <x:f>IF(B72="",0,IF(COUNTIFS('Anomalies'!$C$19:$C$23,B72,'Anomalies'!$D$19:$D$23,"Exclure",'Anomalies'!$F$19:$F$23,"OUI")&gt;0,0,IF(COUNTIFS('Anomalies'!$C$19:$C$23,B72,'Anomalies'!$D$19:$D$23,"Ajout",'Anomalies'!$F$19:$F$23,"OUI")=1,1,0)))</x:f>
        <x:v>0</x:v>
      </x:c>
      <x:c r="M72" s="30" t="str">
        <x:f>IF(B72="","",IF(H72="ACHAT",I72,-I72)*L72)</x:f>
      </x:c>
      <x:c r="N72" s="32" t="str">
        <x:f>IF(B72="","",ROUND(IF(H72="ACHAT",-I72*J72-K72,I72*J72-K72)*L72,2))</x:f>
      </x:c>
      <x:c r="O72" s="30" t="str">
        <x:f>IF(B72="","",COUNTIFS($C$7:$C$76,C72,$L$7:$L$76,1))</x:f>
      </x:c>
      <x:c r="P72" s="30" t="n">
        <x:f>IF(OR(B72="",L72=0),0,IF(AND(COUNTIFS($B$7:$B$76,B72,$L$7:$L$76,1)=1,C72&lt;&gt;"",'Anomalies'!L38="EUR",ISNUMBER(D72),D72&gt;0,ISNUMBER(E72),E72&gt;=D72,OR(F72=0,AND(ISNUMBER(F72),F72&gt;=D72)),COUNTIFS('Marché'!$J$7:$J$11,G72)=1,OR(H72="ACHAT",H72="VENTE"),ISNUMBER(I72),I72&gt;0,ISNUMBER(J72),J72&gt;0,ISNUMBER(K72),K72&gt;=0),0,1))</x:f>
        <x:v>0</x:v>
      </x:c>
      <x:c r="Q72" s="30" t="n">
        <x:f>IF(OR(B72="",L72=0),0,IF(COUNTIFS('Dépositaire'!$C$7:$C$66,C72)=1,0,1))</x:f>
        <x:v>0</x:v>
      </x:c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30" t="str">
        <x:f>IF('Anomalies'!B39="","",'Anomalies'!B39)</x:f>
      </x:c>
      <x:c r="C73" s="30" t="str">
        <x:f>IF('Anomalies'!B39="","",'Anomalies'!C39)</x:f>
      </x:c>
      <x:c r="D73" s="31" t="str">
        <x:f>IF('Anomalies'!B39="","",'Anomalies'!D39)</x:f>
      </x:c>
      <x:c r="E73" s="31" t="str">
        <x:f>IF('Anomalies'!B39="","",'Anomalies'!E39)</x:f>
      </x:c>
      <x:c r="F73" s="31" t="str">
        <x:f>IF('Anomalies'!B39="","",IF('Anomalies'!F39="",0,'Anomalies'!F39))</x:f>
      </x:c>
      <x:c r="G73" s="30" t="str">
        <x:f>IF('Anomalies'!B39="","",'Anomalies'!G39)</x:f>
      </x:c>
      <x:c r="H73" s="30" t="str">
        <x:f>IF('Anomalies'!B39="","",'Anomalies'!H39)</x:f>
      </x:c>
      <x:c r="I73" s="32" t="str">
        <x:f>IF(B73="","",IF(COUNTIFS('Anomalies'!$C$19:$C$23,B73,'Anomalies'!$D$19:$D$23,"Quantite",'Anomalies'!$F$19:$F$23,"OUI")=1,SUMIFS('Anomalies'!$E$19:$E$23,'Anomalies'!$C$19:$C$23,B73,'Anomalies'!$D$19:$D$23,"Quantite",'Anomalies'!$F$19:$F$23,"OUI"),'Anomalies'!I39))</x:f>
      </x:c>
      <x:c r="J73" s="32" t="str">
        <x:f>IF('Anomalies'!B39="","",'Anomalies'!J39)</x:f>
      </x:c>
      <x:c r="K73" s="32" t="str">
        <x:f>IF('Anomalies'!B39="","",'Anomalies'!K39)</x:f>
      </x:c>
      <x:c r="L73" s="30" t="n">
        <x:f>IF(B73="",0,IF(COUNTIFS('Anomalies'!$C$19:$C$23,B73,'Anomalies'!$D$19:$D$23,"Exclure",'Anomalies'!$F$19:$F$23,"OUI")&gt;0,0,IF(COUNTIFS('Anomalies'!$C$19:$C$23,B73,'Anomalies'!$D$19:$D$23,"Ajout",'Anomalies'!$F$19:$F$23,"OUI")=1,1,0)))</x:f>
        <x:v>0</x:v>
      </x:c>
      <x:c r="M73" s="30" t="str">
        <x:f>IF(B73="","",IF(H73="ACHAT",I73,-I73)*L73)</x:f>
      </x:c>
      <x:c r="N73" s="32" t="str">
        <x:f>IF(B73="","",ROUND(IF(H73="ACHAT",-I73*J73-K73,I73*J73-K73)*L73,2))</x:f>
      </x:c>
      <x:c r="O73" s="30" t="str">
        <x:f>IF(B73="","",COUNTIFS($C$7:$C$76,C73,$L$7:$L$76,1))</x:f>
      </x:c>
      <x:c r="P73" s="30" t="n">
        <x:f>IF(OR(B73="",L73=0),0,IF(AND(COUNTIFS($B$7:$B$76,B73,$L$7:$L$76,1)=1,C73&lt;&gt;"",'Anomalies'!L39="EUR",ISNUMBER(D73),D73&gt;0,ISNUMBER(E73),E73&gt;=D73,OR(F73=0,AND(ISNUMBER(F73),F73&gt;=D73)),COUNTIFS('Marché'!$J$7:$J$11,G73)=1,OR(H73="ACHAT",H73="VENTE"),ISNUMBER(I73),I73&gt;0,ISNUMBER(J73),J73&gt;0,ISNUMBER(K73),K73&gt;=0),0,1))</x:f>
        <x:v>0</x:v>
      </x:c>
      <x:c r="Q73" s="30" t="n">
        <x:f>IF(OR(B73="",L73=0),0,IF(COUNTIFS('Dépositaire'!$C$7:$C$66,C73)=1,0,1))</x:f>
        <x:v>0</x:v>
      </x:c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30" t="str">
        <x:f>IF('Anomalies'!B40="","",'Anomalies'!B40)</x:f>
      </x:c>
      <x:c r="C74" s="30" t="str">
        <x:f>IF('Anomalies'!B40="","",'Anomalies'!C40)</x:f>
      </x:c>
      <x:c r="D74" s="31" t="str">
        <x:f>IF('Anomalies'!B40="","",'Anomalies'!D40)</x:f>
      </x:c>
      <x:c r="E74" s="31" t="str">
        <x:f>IF('Anomalies'!B40="","",'Anomalies'!E40)</x:f>
      </x:c>
      <x:c r="F74" s="31" t="str">
        <x:f>IF('Anomalies'!B40="","",IF('Anomalies'!F40="",0,'Anomalies'!F40))</x:f>
      </x:c>
      <x:c r="G74" s="30" t="str">
        <x:f>IF('Anomalies'!B40="","",'Anomalies'!G40)</x:f>
      </x:c>
      <x:c r="H74" s="30" t="str">
        <x:f>IF('Anomalies'!B40="","",'Anomalies'!H40)</x:f>
      </x:c>
      <x:c r="I74" s="32" t="str">
        <x:f>IF(B74="","",IF(COUNTIFS('Anomalies'!$C$19:$C$23,B74,'Anomalies'!$D$19:$D$23,"Quantite",'Anomalies'!$F$19:$F$23,"OUI")=1,SUMIFS('Anomalies'!$E$19:$E$23,'Anomalies'!$C$19:$C$23,B74,'Anomalies'!$D$19:$D$23,"Quantite",'Anomalies'!$F$19:$F$23,"OUI"),'Anomalies'!I40))</x:f>
      </x:c>
      <x:c r="J74" s="32" t="str">
        <x:f>IF('Anomalies'!B40="","",'Anomalies'!J40)</x:f>
      </x:c>
      <x:c r="K74" s="32" t="str">
        <x:f>IF('Anomalies'!B40="","",'Anomalies'!K40)</x:f>
      </x:c>
      <x:c r="L74" s="30" t="n">
        <x:f>IF(B74="",0,IF(COUNTIFS('Anomalies'!$C$19:$C$23,B74,'Anomalies'!$D$19:$D$23,"Exclure",'Anomalies'!$F$19:$F$23,"OUI")&gt;0,0,IF(COUNTIFS('Anomalies'!$C$19:$C$23,B74,'Anomalies'!$D$19:$D$23,"Ajout",'Anomalies'!$F$19:$F$23,"OUI")=1,1,0)))</x:f>
        <x:v>0</x:v>
      </x:c>
      <x:c r="M74" s="30" t="str">
        <x:f>IF(B74="","",IF(H74="ACHAT",I74,-I74)*L74)</x:f>
      </x:c>
      <x:c r="N74" s="32" t="str">
        <x:f>IF(B74="","",ROUND(IF(H74="ACHAT",-I74*J74-K74,I74*J74-K74)*L74,2))</x:f>
      </x:c>
      <x:c r="O74" s="30" t="str">
        <x:f>IF(B74="","",COUNTIFS($C$7:$C$76,C74,$L$7:$L$76,1))</x:f>
      </x:c>
      <x:c r="P74" s="30" t="n">
        <x:f>IF(OR(B74="",L74=0),0,IF(AND(COUNTIFS($B$7:$B$76,B74,$L$7:$L$76,1)=1,C74&lt;&gt;"",'Anomalies'!L40="EUR",ISNUMBER(D74),D74&gt;0,ISNUMBER(E74),E74&gt;=D74,OR(F74=0,AND(ISNUMBER(F74),F74&gt;=D74)),COUNTIFS('Marché'!$J$7:$J$11,G74)=1,OR(H74="ACHAT",H74="VENTE"),ISNUMBER(I74),I74&gt;0,ISNUMBER(J74),J74&gt;0,ISNUMBER(K74),K74&gt;=0),0,1))</x:f>
        <x:v>0</x:v>
      </x:c>
      <x:c r="Q74" s="30" t="n">
        <x:f>IF(OR(B74="",L74=0),0,IF(COUNTIFS('Dépositaire'!$C$7:$C$66,C74)=1,0,1))</x:f>
        <x:v>0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30" t="str">
        <x:f>IF('Anomalies'!B41="","",'Anomalies'!B41)</x:f>
      </x:c>
      <x:c r="C75" s="30" t="str">
        <x:f>IF('Anomalies'!B41="","",'Anomalies'!C41)</x:f>
      </x:c>
      <x:c r="D75" s="31" t="str">
        <x:f>IF('Anomalies'!B41="","",'Anomalies'!D41)</x:f>
      </x:c>
      <x:c r="E75" s="31" t="str">
        <x:f>IF('Anomalies'!B41="","",'Anomalies'!E41)</x:f>
      </x:c>
      <x:c r="F75" s="31" t="str">
        <x:f>IF('Anomalies'!B41="","",IF('Anomalies'!F41="",0,'Anomalies'!F41))</x:f>
      </x:c>
      <x:c r="G75" s="30" t="str">
        <x:f>IF('Anomalies'!B41="","",'Anomalies'!G41)</x:f>
      </x:c>
      <x:c r="H75" s="30" t="str">
        <x:f>IF('Anomalies'!B41="","",'Anomalies'!H41)</x:f>
      </x:c>
      <x:c r="I75" s="32" t="str">
        <x:f>IF(B75="","",IF(COUNTIFS('Anomalies'!$C$19:$C$23,B75,'Anomalies'!$D$19:$D$23,"Quantite",'Anomalies'!$F$19:$F$23,"OUI")=1,SUMIFS('Anomalies'!$E$19:$E$23,'Anomalies'!$C$19:$C$23,B75,'Anomalies'!$D$19:$D$23,"Quantite",'Anomalies'!$F$19:$F$23,"OUI"),'Anomalies'!I41))</x:f>
      </x:c>
      <x:c r="J75" s="32" t="str">
        <x:f>IF('Anomalies'!B41="","",'Anomalies'!J41)</x:f>
      </x:c>
      <x:c r="K75" s="32" t="str">
        <x:f>IF('Anomalies'!B41="","",'Anomalies'!K41)</x:f>
      </x:c>
      <x:c r="L75" s="30" t="n">
        <x:f>IF(B75="",0,IF(COUNTIFS('Anomalies'!$C$19:$C$23,B75,'Anomalies'!$D$19:$D$23,"Exclure",'Anomalies'!$F$19:$F$23,"OUI")&gt;0,0,IF(COUNTIFS('Anomalies'!$C$19:$C$23,B75,'Anomalies'!$D$19:$D$23,"Ajout",'Anomalies'!$F$19:$F$23,"OUI")=1,1,0)))</x:f>
        <x:v>0</x:v>
      </x:c>
      <x:c r="M75" s="30" t="str">
        <x:f>IF(B75="","",IF(H75="ACHAT",I75,-I75)*L75)</x:f>
      </x:c>
      <x:c r="N75" s="32" t="str">
        <x:f>IF(B75="","",ROUND(IF(H75="ACHAT",-I75*J75-K75,I75*J75-K75)*L75,2))</x:f>
      </x:c>
      <x:c r="O75" s="30" t="str">
        <x:f>IF(B75="","",COUNTIFS($C$7:$C$76,C75,$L$7:$L$76,1))</x:f>
      </x:c>
      <x:c r="P75" s="30" t="n">
        <x:f>IF(OR(B75="",L75=0),0,IF(AND(COUNTIFS($B$7:$B$76,B75,$L$7:$L$76,1)=1,C75&lt;&gt;"",'Anomalies'!L41="EUR",ISNUMBER(D75),D75&gt;0,ISNUMBER(E75),E75&gt;=D75,OR(F75=0,AND(ISNUMBER(F75),F75&gt;=D75)),COUNTIFS('Marché'!$J$7:$J$11,G75)=1,OR(H75="ACHAT",H75="VENTE"),ISNUMBER(I75),I75&gt;0,ISNUMBER(J75),J75&gt;0,ISNUMBER(K75),K75&gt;=0),0,1))</x:f>
        <x:v>0</x:v>
      </x:c>
      <x:c r="Q75" s="30" t="n">
        <x:f>IF(OR(B75="",L75=0),0,IF(COUNTIFS('Dépositaire'!$C$7:$C$66,C75)=1,0,1))</x:f>
        <x:v>0</x:v>
      </x:c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30" t="str">
        <x:f>IF('Anomalies'!B42="","",'Anomalies'!B42)</x:f>
      </x:c>
      <x:c r="C76" s="30" t="str">
        <x:f>IF('Anomalies'!B42="","",'Anomalies'!C42)</x:f>
      </x:c>
      <x:c r="D76" s="31" t="str">
        <x:f>IF('Anomalies'!B42="","",'Anomalies'!D42)</x:f>
      </x:c>
      <x:c r="E76" s="31" t="str">
        <x:f>IF('Anomalies'!B42="","",'Anomalies'!E42)</x:f>
      </x:c>
      <x:c r="F76" s="31" t="str">
        <x:f>IF('Anomalies'!B42="","",IF('Anomalies'!F42="",0,'Anomalies'!F42))</x:f>
      </x:c>
      <x:c r="G76" s="30" t="str">
        <x:f>IF('Anomalies'!B42="","",'Anomalies'!G42)</x:f>
      </x:c>
      <x:c r="H76" s="30" t="str">
        <x:f>IF('Anomalies'!B42="","",'Anomalies'!H42)</x:f>
      </x:c>
      <x:c r="I76" s="32" t="str">
        <x:f>IF(B76="","",IF(COUNTIFS('Anomalies'!$C$19:$C$23,B76,'Anomalies'!$D$19:$D$23,"Quantite",'Anomalies'!$F$19:$F$23,"OUI")=1,SUMIFS('Anomalies'!$E$19:$E$23,'Anomalies'!$C$19:$C$23,B76,'Anomalies'!$D$19:$D$23,"Quantite",'Anomalies'!$F$19:$F$23,"OUI"),'Anomalies'!I42))</x:f>
      </x:c>
      <x:c r="J76" s="32" t="str">
        <x:f>IF('Anomalies'!B42="","",'Anomalies'!J42)</x:f>
      </x:c>
      <x:c r="K76" s="32" t="str">
        <x:f>IF('Anomalies'!B42="","",'Anomalies'!K42)</x:f>
      </x:c>
      <x:c r="L76" s="30" t="n">
        <x:f>IF(B76="",0,IF(COUNTIFS('Anomalies'!$C$19:$C$23,B76,'Anomalies'!$D$19:$D$23,"Exclure",'Anomalies'!$F$19:$F$23,"OUI")&gt;0,0,IF(COUNTIFS('Anomalies'!$C$19:$C$23,B76,'Anomalies'!$D$19:$D$23,"Ajout",'Anomalies'!$F$19:$F$23,"OUI")=1,1,0)))</x:f>
        <x:v>0</x:v>
      </x:c>
      <x:c r="M76" s="30" t="str">
        <x:f>IF(B76="","",IF(H76="ACHAT",I76,-I76)*L76)</x:f>
      </x:c>
      <x:c r="N76" s="32" t="str">
        <x:f>IF(B76="","",ROUND(IF(H76="ACHAT",-I76*J76-K76,I76*J76-K76)*L76,2))</x:f>
      </x:c>
      <x:c r="O76" s="30" t="str">
        <x:f>IF(B76="","",COUNTIFS($C$7:$C$76,C76,$L$7:$L$76,1))</x:f>
      </x:c>
      <x:c r="P76" s="30" t="n">
        <x:f>IF(OR(B76="",L76=0),0,IF(AND(COUNTIFS($B$7:$B$76,B76,$L$7:$L$76,1)=1,C76&lt;&gt;"",'Anomalies'!L42="EUR",ISNUMBER(D76),D76&gt;0,ISNUMBER(E76),E76&gt;=D76,OR(F76=0,AND(ISNUMBER(F76),F76&gt;=D76)),COUNTIFS('Marché'!$J$7:$J$11,G76)=1,OR(H76="ACHAT",H76="VENTE"),ISNUMBER(I76),I76&gt;0,ISNUMBER(J76),J76&gt;0,ISNUMBER(K76),K76&gt;=0),0,1))</x:f>
        <x:v>0</x:v>
      </x:c>
      <x:c r="Q76" s="30" t="n">
        <x:f>IF(OR(B76="",L76=0),0,IF(COUNTIFS('Dépositaire'!$C$7:$C$66,C76)=1,0,1))</x:f>
        <x:v>0</x:v>
      </x:c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34" customHeight="1">
      <x:c r="A90" s="2"/>
      <x:c r="B90" s="8" t="str">
        <x:v>Date</x:v>
      </x:c>
      <x:c r="C90" s="8" t="str">
        <x:v>ISIN</x:v>
      </x:c>
      <x:c r="D90" s="8" t="str">
        <x:v>Quantité négociée</x:v>
      </x:c>
      <x:c r="E90" s="8" t="str">
        <x:v>Quantité réglée</x:v>
      </x:c>
      <x:c r="F90" s="8" t="str">
        <x:v>Cours effectif EUR</x:v>
      </x:c>
      <x:c r="G90" s="8" t="str">
        <x:v>Date du cours</x:v>
      </x:c>
      <x:c r="H90" s="8" t="str">
        <x:v>Nombre de cours</x:v>
      </x:c>
      <x:c r="I90" s="8" t="str">
        <x:v>Valeur EUR</x:v>
      </x:c>
      <x:c r="J90" s="8" t="str">
        <x:v>Quantité dépositaire</x:v>
      </x:c>
      <x:c r="K90" s="8" t="str">
        <x:v>Écart titres</x:v>
      </x:c>
      <x:c r="L90" s="8" t="str">
        <x:v>Contrôle de position</x:v>
      </x:c>
      <x:c r="M90" s="8" t="str">
        <x:v>Contrôle du cours</x:v>
      </x:c>
      <x:c r="N90" s="8" t="str">
        <x:v>Couverture dépositaire</x:v>
      </x:c>
      <x:c r="O90" s="35"/>
      <x:c r="P90" s="30"/>
      <x:c r="Q90" s="30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36" t="n">
        <x:v>46279</x:v>
      </x:c>
      <x:c r="C91" s="30" t="str">
        <x:v>FR0000120073</x:v>
      </x:c>
      <x:c r="D91" s="30" t="n">
        <x:f>SUMIFS($M$7:$M$76,$G$7:$G$76,C91,$D$7:$D$76,"&lt;="&amp;B91)</x:f>
        <x:v>600</x:v>
      </x:c>
      <x:c r="E91" s="30" t="n">
        <x:f>SUMIFS($M$7:$M$76,$G$7:$G$76,C91,$D$7:$D$76,"&lt;="&amp;B91,$F$7:$F$76,"&gt;0",$F$7:$F$76,"&lt;="&amp;B91)</x:f>
        <x:v>0</x:v>
      </x:c>
      <x:c r="F91" s="32" t="n">
        <x:f>IF(H91&lt;&gt;1,"n.d.",IF(COUNTIFS('Anomalies'!$C$19:$C$23,"FR0000120073_2026-09-14",'Anomalies'!$D$19:$D$23,"CoursEUR",'Anomalies'!$F$19:$F$23,"OUI")=1,SUMIFS('Anomalies'!$E$19:$E$23,'Anomalies'!$C$19:$C$23,"FR0000120073_2026-09-14",'Anomalies'!$D$19:$D$23,"CoursEUR",'Anomalies'!$F$19:$F$23,"OUI"),SUMIFS('Marché'!$E$7:$E$106,'Marché'!$C$7:$C$106,B91,'Marché'!$D$7:$D$106,C91)))</x:f>
        <x:v>164.65</x:v>
      </x:c>
      <x:c r="G91" s="36" t="n">
        <x:f>IF(H91&lt;&gt;1,"",IF(COUNTIFS('Anomalies'!$C$19:$C$23,"FR0000120073_2026-09-14",'Anomalies'!$D$19:$D$23,"CoursEUR",'Anomalies'!$F$19:$F$23,"OUI")=1,B91,SUMIFS('Marché'!$F$7:$F$106,'Marché'!$C$7:$C$106,B91,'Marché'!$D$7:$D$106,C91)))</x:f>
        <x:v>46279</x:v>
      </x:c>
      <x:c r="H91" s="30" t="n">
        <x:f>COUNTIFS('Marché'!$C$7:$C$106,B91,'Marché'!$D$7:$D$106,C91)</x:f>
        <x:v>1</x:v>
      </x:c>
      <x:c r="I91" s="32" t="n">
        <x:f>IF(M91="OK",D91*F91,"n.d.")</x:f>
        <x:v>98790</x:v>
      </x:c>
      <x:c r="J91" s="30" t="n">
        <x:f>IF(N91=1,SUMIFS('Dépositaire'!$Q$7:$Q$106,'Dépositaire'!$O$7:$O$106,B91,'Dépositaire'!$P$7:$P$106,C91),"n.d.")</x:f>
        <x:v>0</x:v>
      </x:c>
      <x:c r="K91" s="30" t="n">
        <x:f>IF(ISNUMBER(J91),E91-J91,"n.d.")</x:f>
        <x:v>0</x:v>
      </x:c>
      <x:c r="L91" s="37" t="str">
        <x:f>IF(OR(D91&lt;0,E91&lt;0),"Position négative","OK")</x:f>
        <x:v>OK</x:v>
      </x:c>
      <x:c r="M91" s="37" t="str">
        <x:f>IF(COUNTIFS('Marché'!$B$7:$B$106,"FR0000120073_2026-09-14")&lt;&gt;1,"Clé cours absente/dupliquée",IF(H91&lt;&gt;1,"Cours absent ou dupliqué",IF(NOT(ISNUMBER(F91)),"Cours invalide",IF(F91&lt;=0,"Cours invalide",IF(G91&lt;&gt;B91,"Cours périmé","OK")))))</x:f>
        <x:v>OK</x:v>
      </x:c>
      <x:c r="N91" s="30" t="n">
        <x:f>COUNTIFS('Dépositaire'!$O$7:$O$106,B91,'Dépositaire'!$P$7:$P$106,C91)</x:f>
        <x:v>1</x:v>
      </x:c>
      <x:c r="O91" s="30"/>
      <x:c r="P91" s="30"/>
      <x:c r="Q91" s="30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36" t="n">
        <x:v>46279</x:v>
      </x:c>
      <x:c r="C92" s="30" t="str">
        <x:v>FR0000121972</x:v>
      </x:c>
      <x:c r="D92" s="30" t="n">
        <x:f>SUMIFS($M$7:$M$76,$G$7:$G$76,C92,$D$7:$D$76,"&lt;="&amp;B92)</x:f>
        <x:v>400</x:v>
      </x:c>
      <x:c r="E92" s="30" t="n">
        <x:f>SUMIFS($M$7:$M$76,$G$7:$G$76,C92,$D$7:$D$76,"&lt;="&amp;B92,$F$7:$F$76,"&gt;0",$F$7:$F$76,"&lt;="&amp;B92)</x:f>
        <x:v>0</x:v>
      </x:c>
      <x:c r="F92" s="32" t="n">
        <x:f>IF(H92&lt;&gt;1,"n.d.",IF(COUNTIFS('Anomalies'!$C$19:$C$23,"FR0000121972_2026-09-14",'Anomalies'!$D$19:$D$23,"CoursEUR",'Anomalies'!$F$19:$F$23,"OUI")=1,SUMIFS('Anomalies'!$E$19:$E$23,'Anomalies'!$C$19:$C$23,"FR0000121972_2026-09-14",'Anomalies'!$D$19:$D$23,"CoursEUR",'Anomalies'!$F$19:$F$23,"OUI"),SUMIFS('Marché'!$E$7:$E$106,'Marché'!$C$7:$C$106,B92,'Marché'!$D$7:$D$106,C92)))</x:f>
        <x:v>210.35</x:v>
      </x:c>
      <x:c r="G92" s="36" t="n">
        <x:f>IF(H92&lt;&gt;1,"",IF(COUNTIFS('Anomalies'!$C$19:$C$23,"FR0000121972_2026-09-14",'Anomalies'!$D$19:$D$23,"CoursEUR",'Anomalies'!$F$19:$F$23,"OUI")=1,B92,SUMIFS('Marché'!$F$7:$F$106,'Marché'!$C$7:$C$106,B92,'Marché'!$D$7:$D$106,C92)))</x:f>
        <x:v>46279</x:v>
      </x:c>
      <x:c r="H92" s="30" t="n">
        <x:f>COUNTIFS('Marché'!$C$7:$C$106,B92,'Marché'!$D$7:$D$106,C92)</x:f>
        <x:v>1</x:v>
      </x:c>
      <x:c r="I92" s="32" t="n">
        <x:f>IF(M92="OK",D92*F92,"n.d.")</x:f>
        <x:v>84140</x:v>
      </x:c>
      <x:c r="J92" s="30" t="n">
        <x:f>IF(N92=1,SUMIFS('Dépositaire'!$Q$7:$Q$106,'Dépositaire'!$O$7:$O$106,B92,'Dépositaire'!$P$7:$P$106,C92),"n.d.")</x:f>
        <x:v>0</x:v>
      </x:c>
      <x:c r="K92" s="30" t="n">
        <x:f>IF(ISNUMBER(J92),E92-J92,"n.d.")</x:f>
        <x:v>0</x:v>
      </x:c>
      <x:c r="L92" s="37" t="str">
        <x:f>IF(OR(D92&lt;0,E92&lt;0),"Position négative","OK")</x:f>
        <x:v>OK</x:v>
      </x:c>
      <x:c r="M92" s="37" t="str">
        <x:f>IF(COUNTIFS('Marché'!$B$7:$B$106,"FR0000121972_2026-09-14")&lt;&gt;1,"Clé cours absente/dupliquée",IF(H92&lt;&gt;1,"Cours absent ou dupliqué",IF(NOT(ISNUMBER(F92)),"Cours invalide",IF(F92&lt;=0,"Cours invalide",IF(G92&lt;&gt;B92,"Cours périmé","OK")))))</x:f>
        <x:v>OK</x:v>
      </x:c>
      <x:c r="N92" s="30" t="n">
        <x:f>COUNTIFS('Dépositaire'!$O$7:$O$106,B92,'Dépositaire'!$P$7:$P$106,C92)</x:f>
        <x:v>1</x:v>
      </x:c>
      <x:c r="O92" s="30"/>
      <x:c r="P92" s="30"/>
      <x:c r="Q92" s="30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36" t="n">
        <x:v>46279</x:v>
      </x:c>
      <x:c r="C93" s="30" t="str">
        <x:v>FR0000120644</x:v>
      </x:c>
      <x:c r="D93" s="30" t="n">
        <x:f>SUMIFS($M$7:$M$76,$G$7:$G$76,C93,$D$7:$D$76,"&lt;="&amp;B93)</x:f>
        <x:v>1800</x:v>
      </x:c>
      <x:c r="E93" s="30" t="n">
        <x:f>SUMIFS($M$7:$M$76,$G$7:$G$76,C93,$D$7:$D$76,"&lt;="&amp;B93,$F$7:$F$76,"&gt;0",$F$7:$F$76,"&lt;="&amp;B93)</x:f>
        <x:v>0</x:v>
      </x:c>
      <x:c r="F93" s="32" t="n">
        <x:f>IF(H93&lt;&gt;1,"n.d.",IF(COUNTIFS('Anomalies'!$C$19:$C$23,"FR0000120644_2026-09-14",'Anomalies'!$D$19:$D$23,"CoursEUR",'Anomalies'!$F$19:$F$23,"OUI")=1,SUMIFS('Anomalies'!$E$19:$E$23,'Anomalies'!$C$19:$C$23,"FR0000120644_2026-09-14",'Anomalies'!$D$19:$D$23,"CoursEUR",'Anomalies'!$F$19:$F$23,"OUI"),SUMIFS('Marché'!$E$7:$E$106,'Marché'!$C$7:$C$106,B93,'Marché'!$D$7:$D$106,C93)))</x:f>
        <x:v>60</x:v>
      </x:c>
      <x:c r="G93" s="36" t="n">
        <x:f>IF(H93&lt;&gt;1,"",IF(COUNTIFS('Anomalies'!$C$19:$C$23,"FR0000120644_2026-09-14",'Anomalies'!$D$19:$D$23,"CoursEUR",'Anomalies'!$F$19:$F$23,"OUI")=1,B93,SUMIFS('Marché'!$F$7:$F$106,'Marché'!$C$7:$C$106,B93,'Marché'!$D$7:$D$106,C93)))</x:f>
        <x:v>46279</x:v>
      </x:c>
      <x:c r="H93" s="30" t="n">
        <x:f>COUNTIFS('Marché'!$C$7:$C$106,B93,'Marché'!$D$7:$D$106,C93)</x:f>
        <x:v>1</x:v>
      </x:c>
      <x:c r="I93" s="32" t="n">
        <x:f>IF(M93="OK",D93*F93,"n.d.")</x:f>
        <x:v>108000</x:v>
      </x:c>
      <x:c r="J93" s="30" t="n">
        <x:f>IF(N93=1,SUMIFS('Dépositaire'!$Q$7:$Q$106,'Dépositaire'!$O$7:$O$106,B93,'Dépositaire'!$P$7:$P$106,C93),"n.d.")</x:f>
        <x:v>0</x:v>
      </x:c>
      <x:c r="K93" s="30" t="n">
        <x:f>IF(ISNUMBER(J93),E93-J93,"n.d.")</x:f>
        <x:v>0</x:v>
      </x:c>
      <x:c r="L93" s="37" t="str">
        <x:f>IF(OR(D93&lt;0,E93&lt;0),"Position négative","OK")</x:f>
        <x:v>OK</x:v>
      </x:c>
      <x:c r="M93" s="37" t="str">
        <x:f>IF(COUNTIFS('Marché'!$B$7:$B$106,"FR0000120644_2026-09-14")&lt;&gt;1,"Clé cours absente/dupliquée",IF(H93&lt;&gt;1,"Cours absent ou dupliqué",IF(NOT(ISNUMBER(F93)),"Cours invalide",IF(F93&lt;=0,"Cours invalide",IF(G93&lt;&gt;B93,"Cours périmé","OK")))))</x:f>
        <x:v>OK</x:v>
      </x:c>
      <x:c r="N93" s="30" t="n">
        <x:f>COUNTIFS('Dépositaire'!$O$7:$O$106,B93,'Dépositaire'!$P$7:$P$106,C93)</x:f>
        <x:v>1</x:v>
      </x:c>
      <x:c r="O93" s="30"/>
      <x:c r="P93" s="30"/>
      <x:c r="Q93" s="30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36" t="n">
        <x:v>46279</x:v>
      </x:c>
      <x:c r="C94" s="30" t="str">
        <x:v>FR0000125486</x:v>
      </x:c>
      <x:c r="D94" s="30" t="n">
        <x:f>SUMIFS($M$7:$M$76,$G$7:$G$76,C94,$D$7:$D$76,"&lt;="&amp;B94)</x:f>
        <x:v>900</x:v>
      </x:c>
      <x:c r="E94" s="30" t="n">
        <x:f>SUMIFS($M$7:$M$76,$G$7:$G$76,C94,$D$7:$D$76,"&lt;="&amp;B94,$F$7:$F$76,"&gt;0",$F$7:$F$76,"&lt;="&amp;B94)</x:f>
        <x:v>0</x:v>
      </x:c>
      <x:c r="F94" s="32" t="n">
        <x:f>IF(H94&lt;&gt;1,"n.d.",IF(COUNTIFS('Anomalies'!$C$19:$C$23,"FR0000125486_2026-09-14",'Anomalies'!$D$19:$D$23,"CoursEUR",'Anomalies'!$F$19:$F$23,"OUI")=1,SUMIFS('Anomalies'!$E$19:$E$23,'Anomalies'!$C$19:$C$23,"FR0000125486_2026-09-14",'Anomalies'!$D$19:$D$23,"CoursEUR",'Anomalies'!$F$19:$F$23,"OUI"),SUMIFS('Marché'!$E$7:$E$106,'Marché'!$C$7:$C$106,B94,'Marché'!$D$7:$D$106,C94)))</x:f>
        <x:v>114.65</x:v>
      </x:c>
      <x:c r="G94" s="36" t="n">
        <x:f>IF(H94&lt;&gt;1,"",IF(COUNTIFS('Anomalies'!$C$19:$C$23,"FR0000125486_2026-09-14",'Anomalies'!$D$19:$D$23,"CoursEUR",'Anomalies'!$F$19:$F$23,"OUI")=1,B94,SUMIFS('Marché'!$F$7:$F$106,'Marché'!$C$7:$C$106,B94,'Marché'!$D$7:$D$106,C94)))</x:f>
        <x:v>46279</x:v>
      </x:c>
      <x:c r="H94" s="30" t="n">
        <x:f>COUNTIFS('Marché'!$C$7:$C$106,B94,'Marché'!$D$7:$D$106,C94)</x:f>
        <x:v>1</x:v>
      </x:c>
      <x:c r="I94" s="32" t="n">
        <x:f>IF(M94="OK",D94*F94,"n.d.")</x:f>
        <x:v>103185</x:v>
      </x:c>
      <x:c r="J94" s="30" t="n">
        <x:f>IF(N94=1,SUMIFS('Dépositaire'!$Q$7:$Q$106,'Dépositaire'!$O$7:$O$106,B94,'Dépositaire'!$P$7:$P$106,C94),"n.d.")</x:f>
        <x:v>0</x:v>
      </x:c>
      <x:c r="K94" s="30" t="n">
        <x:f>IF(ISNUMBER(J94),E94-J94,"n.d.")</x:f>
        <x:v>0</x:v>
      </x:c>
      <x:c r="L94" s="37" t="str">
        <x:f>IF(OR(D94&lt;0,E94&lt;0),"Position négative","OK")</x:f>
        <x:v>OK</x:v>
      </x:c>
      <x:c r="M94" s="37" t="str">
        <x:f>IF(COUNTIFS('Marché'!$B$7:$B$106,"FR0000125486_2026-09-14")&lt;&gt;1,"Clé cours absente/dupliquée",IF(H94&lt;&gt;1,"Cours absent ou dupliqué",IF(NOT(ISNUMBER(F94)),"Cours invalide",IF(F94&lt;=0,"Cours invalide",IF(G94&lt;&gt;B94,"Cours périmé","OK")))))</x:f>
        <x:v>OK</x:v>
      </x:c>
      <x:c r="N94" s="30" t="n">
        <x:f>COUNTIFS('Dépositaire'!$O$7:$O$106,B94,'Dépositaire'!$P$7:$P$106,C94)</x:f>
        <x:v>1</x:v>
      </x:c>
      <x:c r="O94" s="30"/>
      <x:c r="P94" s="30"/>
      <x:c r="Q94" s="30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36" t="n">
        <x:v>46279</x:v>
      </x:c>
      <x:c r="C95" s="30" t="str">
        <x:v>FR0000120321</x:v>
      </x:c>
      <x:c r="D95" s="30" t="n">
        <x:f>SUMIFS($M$7:$M$76,$G$7:$G$76,C95,$D$7:$D$76,"&lt;="&amp;B95)</x:f>
        <x:v>250</x:v>
      </x:c>
      <x:c r="E95" s="30" t="n">
        <x:f>SUMIFS($M$7:$M$76,$G$7:$G$76,C95,$D$7:$D$76,"&lt;="&amp;B95,$F$7:$F$76,"&gt;0",$F$7:$F$76,"&lt;="&amp;B95)</x:f>
        <x:v>0</x:v>
      </x:c>
      <x:c r="F95" s="32" t="n">
        <x:f>IF(H95&lt;&gt;1,"n.d.",IF(COUNTIFS('Anomalies'!$C$19:$C$23,"FR0000120321_2026-09-14",'Anomalies'!$D$19:$D$23,"CoursEUR",'Anomalies'!$F$19:$F$23,"OUI")=1,SUMIFS('Anomalies'!$E$19:$E$23,'Anomalies'!$C$19:$C$23,"FR0000120321_2026-09-14",'Anomalies'!$D$19:$D$23,"CoursEUR",'Anomalies'!$F$19:$F$23,"OUI"),SUMIFS('Marché'!$E$7:$E$106,'Marché'!$C$7:$C$106,B95,'Marché'!$D$7:$D$106,C95)))</x:f>
        <x:v>385.35</x:v>
      </x:c>
      <x:c r="G95" s="36" t="n">
        <x:f>IF(H95&lt;&gt;1,"",IF(COUNTIFS('Anomalies'!$C$19:$C$23,"FR0000120321_2026-09-14",'Anomalies'!$D$19:$D$23,"CoursEUR",'Anomalies'!$F$19:$F$23,"OUI")=1,B95,SUMIFS('Marché'!$F$7:$F$106,'Marché'!$C$7:$C$106,B95,'Marché'!$D$7:$D$106,C95)))</x:f>
        <x:v>46279</x:v>
      </x:c>
      <x:c r="H95" s="30" t="n">
        <x:f>COUNTIFS('Marché'!$C$7:$C$106,B95,'Marché'!$D$7:$D$106,C95)</x:f>
        <x:v>1</x:v>
      </x:c>
      <x:c r="I95" s="32" t="n">
        <x:f>IF(M95="OK",D95*F95,"n.d.")</x:f>
        <x:v>96337.5</x:v>
      </x:c>
      <x:c r="J95" s="30" t="n">
        <x:f>IF(N95=1,SUMIFS('Dépositaire'!$Q$7:$Q$106,'Dépositaire'!$O$7:$O$106,B95,'Dépositaire'!$P$7:$P$106,C95),"n.d.")</x:f>
        <x:v>0</x:v>
      </x:c>
      <x:c r="K95" s="30" t="n">
        <x:f>IF(ISNUMBER(J95),E95-J95,"n.d.")</x:f>
        <x:v>0</x:v>
      </x:c>
      <x:c r="L95" s="37" t="str">
        <x:f>IF(OR(D95&lt;0,E95&lt;0),"Position négative","OK")</x:f>
        <x:v>OK</x:v>
      </x:c>
      <x:c r="M95" s="37" t="str">
        <x:f>IF(COUNTIFS('Marché'!$B$7:$B$106,"FR0000120321_2026-09-14")&lt;&gt;1,"Clé cours absente/dupliquée",IF(H95&lt;&gt;1,"Cours absent ou dupliqué",IF(NOT(ISNUMBER(F95)),"Cours invalide",IF(F95&lt;=0,"Cours invalide",IF(G95&lt;&gt;B95,"Cours périmé","OK")))))</x:f>
        <x:v>OK</x:v>
      </x:c>
      <x:c r="N95" s="30" t="n">
        <x:f>COUNTIFS('Dépositaire'!$O$7:$O$106,B95,'Dépositaire'!$P$7:$P$106,C95)</x:f>
        <x:v>1</x:v>
      </x:c>
      <x:c r="O95" s="30"/>
      <x:c r="P95" s="30"/>
      <x:c r="Q95" s="30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36" t="n">
        <x:v>46280</x:v>
      </x:c>
      <x:c r="C96" s="30" t="str">
        <x:v>FR0000120073</x:v>
      </x:c>
      <x:c r="D96" s="30" t="n">
        <x:f>SUMIFS($M$7:$M$76,$G$7:$G$76,C96,$D$7:$D$76,"&lt;="&amp;B96)</x:f>
        <x:v>700</x:v>
      </x:c>
      <x:c r="E96" s="30" t="n">
        <x:f>SUMIFS($M$7:$M$76,$G$7:$G$76,C96,$D$7:$D$76,"&lt;="&amp;B96,$F$7:$F$76,"&gt;0",$F$7:$F$76,"&lt;="&amp;B96)</x:f>
        <x:v>0</x:v>
      </x:c>
      <x:c r="F96" s="32" t="n">
        <x:f>IF(H96&lt;&gt;1,"n.d.",IF(COUNTIFS('Anomalies'!$C$19:$C$23,"FR0000120073_2026-09-15",'Anomalies'!$D$19:$D$23,"CoursEUR",'Anomalies'!$F$19:$F$23,"OUI")=1,SUMIFS('Anomalies'!$E$19:$E$23,'Anomalies'!$C$19:$C$23,"FR0000120073_2026-09-15",'Anomalies'!$D$19:$D$23,"CoursEUR",'Anomalies'!$F$19:$F$23,"OUI"),SUMIFS('Marché'!$E$7:$E$106,'Marché'!$C$7:$C$106,B96,'Marché'!$D$7:$D$106,C96)))</x:f>
        <x:v>165.28</x:v>
      </x:c>
      <x:c r="G96" s="36" t="n">
        <x:f>IF(H96&lt;&gt;1,"",IF(COUNTIFS('Anomalies'!$C$19:$C$23,"FR0000120073_2026-09-15",'Anomalies'!$D$19:$D$23,"CoursEUR",'Anomalies'!$F$19:$F$23,"OUI")=1,B96,SUMIFS('Marché'!$F$7:$F$106,'Marché'!$C$7:$C$106,B96,'Marché'!$D$7:$D$106,C96)))</x:f>
        <x:v>46280</x:v>
      </x:c>
      <x:c r="H96" s="30" t="n">
        <x:f>COUNTIFS('Marché'!$C$7:$C$106,B96,'Marché'!$D$7:$D$106,C96)</x:f>
        <x:v>1</x:v>
      </x:c>
      <x:c r="I96" s="32" t="n">
        <x:f>IF(M96="OK",D96*F96,"n.d.")</x:f>
        <x:v>115696</x:v>
      </x:c>
      <x:c r="J96" s="30" t="n">
        <x:f>IF(N96=1,SUMIFS('Dépositaire'!$Q$7:$Q$106,'Dépositaire'!$O$7:$O$106,B96,'Dépositaire'!$P$7:$P$106,C96),"n.d.")</x:f>
        <x:v>0</x:v>
      </x:c>
      <x:c r="K96" s="30" t="n">
        <x:f>IF(ISNUMBER(J96),E96-J96,"n.d.")</x:f>
        <x:v>0</x:v>
      </x:c>
      <x:c r="L96" s="37" t="str">
        <x:f>IF(OR(D96&lt;0,E96&lt;0),"Position négative","OK")</x:f>
        <x:v>OK</x:v>
      </x:c>
      <x:c r="M96" s="37" t="str">
        <x:f>IF(COUNTIFS('Marché'!$B$7:$B$106,"FR0000120073_2026-09-15")&lt;&gt;1,"Clé cours absente/dupliquée",IF(H96&lt;&gt;1,"Cours absent ou dupliqué",IF(NOT(ISNUMBER(F96)),"Cours invalide",IF(F96&lt;=0,"Cours invalide",IF(G96&lt;&gt;B96,"Cours périmé","OK")))))</x:f>
        <x:v>OK</x:v>
      </x:c>
      <x:c r="N96" s="30" t="n">
        <x:f>COUNTIFS('Dépositaire'!$O$7:$O$106,B96,'Dépositaire'!$P$7:$P$106,C96)</x:f>
        <x:v>1</x:v>
      </x:c>
      <x:c r="O96" s="30"/>
      <x:c r="P96" s="30"/>
      <x:c r="Q96" s="30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36" t="n">
        <x:v>46280</x:v>
      </x:c>
      <x:c r="C97" s="30" t="str">
        <x:v>FR0000121972</x:v>
      </x:c>
      <x:c r="D97" s="30" t="n">
        <x:f>SUMIFS($M$7:$M$76,$G$7:$G$76,C97,$D$7:$D$76,"&lt;="&amp;B97)</x:f>
        <x:v>400</x:v>
      </x:c>
      <x:c r="E97" s="30" t="n">
        <x:f>SUMIFS($M$7:$M$76,$G$7:$G$76,C97,$D$7:$D$76,"&lt;="&amp;B97,$F$7:$F$76,"&gt;0",$F$7:$F$76,"&lt;="&amp;B97)</x:f>
        <x:v>0</x:v>
      </x:c>
      <x:c r="F97" s="32" t="n">
        <x:f>IF(H97&lt;&gt;1,"n.d.",IF(COUNTIFS('Anomalies'!$C$19:$C$23,"FR0000121972_2026-09-15",'Anomalies'!$D$19:$D$23,"CoursEUR",'Anomalies'!$F$19:$F$23,"OUI")=1,SUMIFS('Anomalies'!$E$19:$E$23,'Anomalies'!$C$19:$C$23,"FR0000121972_2026-09-15",'Anomalies'!$D$19:$D$23,"CoursEUR",'Anomalies'!$F$19:$F$23,"OUI"),SUMIFS('Marché'!$E$7:$E$106,'Marché'!$C$7:$C$106,B97,'Marché'!$D$7:$D$106,C97)))</x:f>
        <x:v>209.31</x:v>
      </x:c>
      <x:c r="G97" s="36" t="n">
        <x:f>IF(H97&lt;&gt;1,"",IF(COUNTIFS('Anomalies'!$C$19:$C$23,"FR0000121972_2026-09-15",'Anomalies'!$D$19:$D$23,"CoursEUR",'Anomalies'!$F$19:$F$23,"OUI")=1,B97,SUMIFS('Marché'!$F$7:$F$106,'Marché'!$C$7:$C$106,B97,'Marché'!$D$7:$D$106,C97)))</x:f>
        <x:v>46280</x:v>
      </x:c>
      <x:c r="H97" s="30" t="n">
        <x:f>COUNTIFS('Marché'!$C$7:$C$106,B97,'Marché'!$D$7:$D$106,C97)</x:f>
        <x:v>1</x:v>
      </x:c>
      <x:c r="I97" s="32" t="n">
        <x:f>IF(M97="OK",D97*F97,"n.d.")</x:f>
        <x:v>83724</x:v>
      </x:c>
      <x:c r="J97" s="30" t="n">
        <x:f>IF(N97=1,SUMIFS('Dépositaire'!$Q$7:$Q$106,'Dépositaire'!$O$7:$O$106,B97,'Dépositaire'!$P$7:$P$106,C97),"n.d.")</x:f>
        <x:v>0</x:v>
      </x:c>
      <x:c r="K97" s="30" t="n">
        <x:f>IF(ISNUMBER(J97),E97-J97,"n.d.")</x:f>
        <x:v>0</x:v>
      </x:c>
      <x:c r="L97" s="37" t="str">
        <x:f>IF(OR(D97&lt;0,E97&lt;0),"Position négative","OK")</x:f>
        <x:v>OK</x:v>
      </x:c>
      <x:c r="M97" s="37" t="str">
        <x:f>IF(COUNTIFS('Marché'!$B$7:$B$106,"FR0000121972_2026-09-15")&lt;&gt;1,"Clé cours absente/dupliquée",IF(H97&lt;&gt;1,"Cours absent ou dupliqué",IF(NOT(ISNUMBER(F97)),"Cours invalide",IF(F97&lt;=0,"Cours invalide",IF(G97&lt;&gt;B97,"Cours périmé","OK")))))</x:f>
        <x:v>OK</x:v>
      </x:c>
      <x:c r="N97" s="30" t="n">
        <x:f>COUNTIFS('Dépositaire'!$O$7:$O$106,B97,'Dépositaire'!$P$7:$P$106,C97)</x:f>
        <x:v>1</x:v>
      </x:c>
      <x:c r="O97" s="30"/>
      <x:c r="P97" s="30"/>
      <x:c r="Q97" s="30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36" t="n">
        <x:v>46280</x:v>
      </x:c>
      <x:c r="C98" s="30" t="str">
        <x:v>FR0000120644</x:v>
      </x:c>
      <x:c r="D98" s="30" t="n">
        <x:f>SUMIFS($M$7:$M$76,$G$7:$G$76,C98,$D$7:$D$76,"&lt;="&amp;B98)</x:f>
        <x:v>1600</x:v>
      </x:c>
      <x:c r="E98" s="30" t="n">
        <x:f>SUMIFS($M$7:$M$76,$G$7:$G$76,C98,$D$7:$D$76,"&lt;="&amp;B98,$F$7:$F$76,"&gt;0",$F$7:$F$76,"&lt;="&amp;B98)</x:f>
        <x:v>0</x:v>
      </x:c>
      <x:c r="F98" s="32" t="n">
        <x:f>IF(H98&lt;&gt;1,"n.d.",IF(COUNTIFS('Anomalies'!$C$19:$C$23,"FR0000120644_2026-09-15",'Anomalies'!$D$19:$D$23,"CoursEUR",'Anomalies'!$F$19:$F$23,"OUI")=1,SUMIFS('Anomalies'!$E$19:$E$23,'Anomalies'!$C$19:$C$23,"FR0000120644_2026-09-15",'Anomalies'!$D$19:$D$23,"CoursEUR",'Anomalies'!$F$19:$F$23,"OUI"),SUMIFS('Marché'!$E$7:$E$106,'Marché'!$C$7:$C$106,B98,'Marché'!$D$7:$D$106,C98)))</x:f>
        <x:v>60.47</x:v>
      </x:c>
      <x:c r="G98" s="36" t="n">
        <x:f>IF(H98&lt;&gt;1,"",IF(COUNTIFS('Anomalies'!$C$19:$C$23,"FR0000120644_2026-09-15",'Anomalies'!$D$19:$D$23,"CoursEUR",'Anomalies'!$F$19:$F$23,"OUI")=1,B98,SUMIFS('Marché'!$F$7:$F$106,'Marché'!$C$7:$C$106,B98,'Marché'!$D$7:$D$106,C98)))</x:f>
        <x:v>46280</x:v>
      </x:c>
      <x:c r="H98" s="30" t="n">
        <x:f>COUNTIFS('Marché'!$C$7:$C$106,B98,'Marché'!$D$7:$D$106,C98)</x:f>
        <x:v>1</x:v>
      </x:c>
      <x:c r="I98" s="32" t="n">
        <x:f>IF(M98="OK",D98*F98,"n.d.")</x:f>
        <x:v>96752</x:v>
      </x:c>
      <x:c r="J98" s="30" t="n">
        <x:f>IF(N98=1,SUMIFS('Dépositaire'!$Q$7:$Q$106,'Dépositaire'!$O$7:$O$106,B98,'Dépositaire'!$P$7:$P$106,C98),"n.d.")</x:f>
        <x:v>0</x:v>
      </x:c>
      <x:c r="K98" s="30" t="n">
        <x:f>IF(ISNUMBER(J98),E98-J98,"n.d.")</x:f>
        <x:v>0</x:v>
      </x:c>
      <x:c r="L98" s="37" t="str">
        <x:f>IF(OR(D98&lt;0,E98&lt;0),"Position négative","OK")</x:f>
        <x:v>OK</x:v>
      </x:c>
      <x:c r="M98" s="37" t="str">
        <x:f>IF(COUNTIFS('Marché'!$B$7:$B$106,"FR0000120644_2026-09-15")&lt;&gt;1,"Clé cours absente/dupliquée",IF(H98&lt;&gt;1,"Cours absent ou dupliqué",IF(NOT(ISNUMBER(F98)),"Cours invalide",IF(F98&lt;=0,"Cours invalide",IF(G98&lt;&gt;B98,"Cours périmé","OK")))))</x:f>
        <x:v>OK</x:v>
      </x:c>
      <x:c r="N98" s="30" t="n">
        <x:f>COUNTIFS('Dépositaire'!$O$7:$O$106,B98,'Dépositaire'!$P$7:$P$106,C98)</x:f>
        <x:v>1</x:v>
      </x:c>
      <x:c r="O98" s="30"/>
      <x:c r="P98" s="30"/>
      <x:c r="Q98" s="30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36" t="n">
        <x:v>46280</x:v>
      </x:c>
      <x:c r="C99" s="30" t="str">
        <x:v>FR0000125486</x:v>
      </x:c>
      <x:c r="D99" s="30" t="n">
        <x:f>SUMIFS($M$7:$M$76,$G$7:$G$76,C99,$D$7:$D$76,"&lt;="&amp;B99)</x:f>
        <x:v>900</x:v>
      </x:c>
      <x:c r="E99" s="30" t="n">
        <x:f>SUMIFS($M$7:$M$76,$G$7:$G$76,C99,$D$7:$D$76,"&lt;="&amp;B99,$F$7:$F$76,"&gt;0",$F$7:$F$76,"&lt;="&amp;B99)</x:f>
        <x:v>0</x:v>
      </x:c>
      <x:c r="F99" s="32" t="n">
        <x:f>IF(H99&lt;&gt;1,"n.d.",IF(COUNTIFS('Anomalies'!$C$19:$C$23,"FR0000125486_2026-09-15",'Anomalies'!$D$19:$D$23,"CoursEUR",'Anomalies'!$F$19:$F$23,"OUI")=1,SUMIFS('Anomalies'!$E$19:$E$23,'Anomalies'!$C$19:$C$23,"FR0000125486_2026-09-15",'Anomalies'!$D$19:$D$23,"CoursEUR",'Anomalies'!$F$19:$F$23,"OUI"),SUMIFS('Marché'!$E$7:$E$106,'Marché'!$C$7:$C$106,B99,'Marché'!$D$7:$D$106,C99)))</x:f>
        <x:v>115.22</x:v>
      </x:c>
      <x:c r="G99" s="36" t="n">
        <x:f>IF(H99&lt;&gt;1,"",IF(COUNTIFS('Anomalies'!$C$19:$C$23,"FR0000125486_2026-09-15",'Anomalies'!$D$19:$D$23,"CoursEUR",'Anomalies'!$F$19:$F$23,"OUI")=1,B99,SUMIFS('Marché'!$F$7:$F$106,'Marché'!$C$7:$C$106,B99,'Marché'!$D$7:$D$106,C99)))</x:f>
        <x:v>46280</x:v>
      </x:c>
      <x:c r="H99" s="30" t="n">
        <x:f>COUNTIFS('Marché'!$C$7:$C$106,B99,'Marché'!$D$7:$D$106,C99)</x:f>
        <x:v>1</x:v>
      </x:c>
      <x:c r="I99" s="32" t="n">
        <x:f>IF(M99="OK",D99*F99,"n.d.")</x:f>
        <x:v>103698</x:v>
      </x:c>
      <x:c r="J99" s="30" t="n">
        <x:f>IF(N99=1,SUMIFS('Dépositaire'!$Q$7:$Q$106,'Dépositaire'!$O$7:$O$106,B99,'Dépositaire'!$P$7:$P$106,C99),"n.d.")</x:f>
        <x:v>0</x:v>
      </x:c>
      <x:c r="K99" s="30" t="n">
        <x:f>IF(ISNUMBER(J99),E99-J99,"n.d.")</x:f>
        <x:v>0</x:v>
      </x:c>
      <x:c r="L99" s="37" t="str">
        <x:f>IF(OR(D99&lt;0,E99&lt;0),"Position négative","OK")</x:f>
        <x:v>OK</x:v>
      </x:c>
      <x:c r="M99" s="37" t="str">
        <x:f>IF(COUNTIFS('Marché'!$B$7:$B$106,"FR0000125486_2026-09-15")&lt;&gt;1,"Clé cours absente/dupliquée",IF(H99&lt;&gt;1,"Cours absent ou dupliqué",IF(NOT(ISNUMBER(F99)),"Cours invalide",IF(F99&lt;=0,"Cours invalide",IF(G99&lt;&gt;B99,"Cours périmé","OK")))))</x:f>
        <x:v>OK</x:v>
      </x:c>
      <x:c r="N99" s="30" t="n">
        <x:f>COUNTIFS('Dépositaire'!$O$7:$O$106,B99,'Dépositaire'!$P$7:$P$106,C99)</x:f>
        <x:v>1</x:v>
      </x:c>
      <x:c r="O99" s="30"/>
      <x:c r="P99" s="30"/>
      <x:c r="Q99" s="30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36" t="n">
        <x:v>46280</x:v>
      </x:c>
      <x:c r="C100" s="30" t="str">
        <x:v>FR0000120321</x:v>
      </x:c>
      <x:c r="D100" s="30" t="n">
        <x:f>SUMIFS($M$7:$M$76,$G$7:$G$76,C100,$D$7:$D$76,"&lt;="&amp;B100)</x:f>
        <x:v>300</x:v>
      </x:c>
      <x:c r="E100" s="30" t="n">
        <x:f>SUMIFS($M$7:$M$76,$G$7:$G$76,C100,$D$7:$D$76,"&lt;="&amp;B100,$F$7:$F$76,"&gt;0",$F$7:$F$76,"&lt;="&amp;B100)</x:f>
        <x:v>0</x:v>
      </x:c>
      <x:c r="F100" s="32" t="n">
        <x:f>IF(H100&lt;&gt;1,"n.d.",IF(COUNTIFS('Anomalies'!$C$19:$C$23,"FR0000120321_2026-09-15",'Anomalies'!$D$19:$D$23,"CoursEUR",'Anomalies'!$F$19:$F$23,"OUI")=1,SUMIFS('Anomalies'!$E$19:$E$23,'Anomalies'!$C$19:$C$23,"FR0000120321_2026-09-15",'Anomalies'!$D$19:$D$23,"CoursEUR",'Anomalies'!$F$19:$F$23,"OUI"),SUMIFS('Marché'!$E$7:$E$106,'Marché'!$C$7:$C$106,B100,'Marché'!$D$7:$D$106,C100)))</x:f>
        <x:v>384.19</x:v>
      </x:c>
      <x:c r="G100" s="36" t="n">
        <x:f>IF(H100&lt;&gt;1,"",IF(COUNTIFS('Anomalies'!$C$19:$C$23,"FR0000120321_2026-09-15",'Anomalies'!$D$19:$D$23,"CoursEUR",'Anomalies'!$F$19:$F$23,"OUI")=1,B100,SUMIFS('Marché'!$F$7:$F$106,'Marché'!$C$7:$C$106,B100,'Marché'!$D$7:$D$106,C100)))</x:f>
        <x:v>46280</x:v>
      </x:c>
      <x:c r="H100" s="30" t="n">
        <x:f>COUNTIFS('Marché'!$C$7:$C$106,B100,'Marché'!$D$7:$D$106,C100)</x:f>
        <x:v>1</x:v>
      </x:c>
      <x:c r="I100" s="32" t="n">
        <x:f>IF(M100="OK",D100*F100,"n.d.")</x:f>
        <x:v>115257</x:v>
      </x:c>
      <x:c r="J100" s="30" t="n">
        <x:f>IF(N100=1,SUMIFS('Dépositaire'!$Q$7:$Q$106,'Dépositaire'!$O$7:$O$106,B100,'Dépositaire'!$P$7:$P$106,C100),"n.d.")</x:f>
        <x:v>0</x:v>
      </x:c>
      <x:c r="K100" s="30" t="n">
        <x:f>IF(ISNUMBER(J100),E100-J100,"n.d.")</x:f>
        <x:v>0</x:v>
      </x:c>
      <x:c r="L100" s="37" t="str">
        <x:f>IF(OR(D100&lt;0,E100&lt;0),"Position négative","OK")</x:f>
        <x:v>OK</x:v>
      </x:c>
      <x:c r="M100" s="37" t="str">
        <x:f>IF(COUNTIFS('Marché'!$B$7:$B$106,"FR0000120321_2026-09-15")&lt;&gt;1,"Clé cours absente/dupliquée",IF(H100&lt;&gt;1,"Cours absent ou dupliqué",IF(NOT(ISNUMBER(F100)),"Cours invalide",IF(F100&lt;=0,"Cours invalide",IF(G100&lt;&gt;B100,"Cours périmé","OK")))))</x:f>
        <x:v>OK</x:v>
      </x:c>
      <x:c r="N100" s="30" t="n">
        <x:f>COUNTIFS('Dépositaire'!$O$7:$O$106,B100,'Dépositaire'!$P$7:$P$106,C100)</x:f>
        <x:v>1</x:v>
      </x:c>
      <x:c r="O100" s="30"/>
      <x:c r="P100" s="30"/>
      <x:c r="Q100" s="30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36" t="n">
        <x:v>46281</x:v>
      </x:c>
      <x:c r="C101" s="30" t="str">
        <x:v>FR0000120073</x:v>
      </x:c>
      <x:c r="D101" s="30" t="n">
        <x:f>SUMIFS($M$7:$M$76,$G$7:$G$76,C101,$D$7:$D$76,"&lt;="&amp;B101)</x:f>
        <x:v>700</x:v>
      </x:c>
      <x:c r="E101" s="30" t="n">
        <x:f>SUMIFS($M$7:$M$76,$G$7:$G$76,C101,$D$7:$D$76,"&lt;="&amp;B101,$F$7:$F$76,"&gt;0",$F$7:$F$76,"&lt;="&amp;B101)</x:f>
        <x:v>600</x:v>
      </x:c>
      <x:c r="F101" s="32" t="n">
        <x:f>IF(H101&lt;&gt;1,"n.d.",IF(COUNTIFS('Anomalies'!$C$19:$C$23,"FR0000120073_2026-09-16",'Anomalies'!$D$19:$D$23,"CoursEUR",'Anomalies'!$F$19:$F$23,"OUI")=1,SUMIFS('Anomalies'!$E$19:$E$23,'Anomalies'!$C$19:$C$23,"FR0000120073_2026-09-16",'Anomalies'!$D$19:$D$23,"CoursEUR",'Anomalies'!$F$19:$F$23,"OUI"),SUMIFS('Marché'!$E$7:$E$106,'Marché'!$C$7:$C$106,B101,'Marché'!$D$7:$D$106,C101)))</x:f>
        <x:v>165.91</x:v>
      </x:c>
      <x:c r="G101" s="36" t="n">
        <x:f>IF(H101&lt;&gt;1,"",IF(COUNTIFS('Anomalies'!$C$19:$C$23,"FR0000120073_2026-09-16",'Anomalies'!$D$19:$D$23,"CoursEUR",'Anomalies'!$F$19:$F$23,"OUI")=1,B101,SUMIFS('Marché'!$F$7:$F$106,'Marché'!$C$7:$C$106,B101,'Marché'!$D$7:$D$106,C101)))</x:f>
        <x:v>46281</x:v>
      </x:c>
      <x:c r="H101" s="30" t="n">
        <x:f>COUNTIFS('Marché'!$C$7:$C$106,B101,'Marché'!$D$7:$D$106,C101)</x:f>
        <x:v>1</x:v>
      </x:c>
      <x:c r="I101" s="32" t="n">
        <x:f>IF(M101="OK",D101*F101,"n.d.")</x:f>
        <x:v>116137</x:v>
      </x:c>
      <x:c r="J101" s="30" t="n">
        <x:f>IF(N101=1,SUMIFS('Dépositaire'!$Q$7:$Q$106,'Dépositaire'!$O$7:$O$106,B101,'Dépositaire'!$P$7:$P$106,C101),"n.d.")</x:f>
        <x:v>600</x:v>
      </x:c>
      <x:c r="K101" s="30" t="n">
        <x:f>IF(ISNUMBER(J101),E101-J101,"n.d.")</x:f>
        <x:v>0</x:v>
      </x:c>
      <x:c r="L101" s="37" t="str">
        <x:f>IF(OR(D101&lt;0,E101&lt;0),"Position négative","OK")</x:f>
        <x:v>OK</x:v>
      </x:c>
      <x:c r="M101" s="37" t="str">
        <x:f>IF(COUNTIFS('Marché'!$B$7:$B$106,"FR0000120073_2026-09-16")&lt;&gt;1,"Clé cours absente/dupliquée",IF(H101&lt;&gt;1,"Cours absent ou dupliqué",IF(NOT(ISNUMBER(F101)),"Cours invalide",IF(F101&lt;=0,"Cours invalide",IF(G101&lt;&gt;B101,"Cours périmé","OK")))))</x:f>
        <x:v>OK</x:v>
      </x:c>
      <x:c r="N101" s="30" t="n">
        <x:f>COUNTIFS('Dépositaire'!$O$7:$O$106,B101,'Dépositaire'!$P$7:$P$106,C101)</x:f>
        <x:v>1</x:v>
      </x:c>
      <x:c r="O101" s="30"/>
      <x:c r="P101" s="30"/>
      <x:c r="Q101" s="30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36" t="n">
        <x:v>46281</x:v>
      </x:c>
      <x:c r="C102" s="30" t="str">
        <x:v>FR0000121972</x:v>
      </x:c>
      <x:c r="D102" s="30" t="n">
        <x:f>SUMIFS($M$7:$M$76,$G$7:$G$76,C102,$D$7:$D$76,"&lt;="&amp;B102)</x:f>
        <x:v>350</x:v>
      </x:c>
      <x:c r="E102" s="30" t="n">
        <x:f>SUMIFS($M$7:$M$76,$G$7:$G$76,C102,$D$7:$D$76,"&lt;="&amp;B102,$F$7:$F$76,"&gt;0",$F$7:$F$76,"&lt;="&amp;B102)</x:f>
        <x:v>400</x:v>
      </x:c>
      <x:c r="F102" s="32" t="n">
        <x:f>IF(H102&lt;&gt;1,"n.d.",IF(COUNTIFS('Anomalies'!$C$19:$C$23,"FR0000121972_2026-09-16",'Anomalies'!$D$19:$D$23,"CoursEUR",'Anomalies'!$F$19:$F$23,"OUI")=1,SUMIFS('Anomalies'!$E$19:$E$23,'Anomalies'!$C$19:$C$23,"FR0000121972_2026-09-16",'Anomalies'!$D$19:$D$23,"CoursEUR",'Anomalies'!$F$19:$F$23,"OUI"),SUMIFS('Marché'!$E$7:$E$106,'Marché'!$C$7:$C$106,B102,'Marché'!$D$7:$D$106,C102)))</x:f>
        <x:v>209.32</x:v>
      </x:c>
      <x:c r="G102" s="36" t="n">
        <x:f>IF(H102&lt;&gt;1,"",IF(COUNTIFS('Anomalies'!$C$19:$C$23,"FR0000121972_2026-09-16",'Anomalies'!$D$19:$D$23,"CoursEUR",'Anomalies'!$F$19:$F$23,"OUI")=1,B102,SUMIFS('Marché'!$F$7:$F$106,'Marché'!$C$7:$C$106,B102,'Marché'!$D$7:$D$106,C102)))</x:f>
        <x:v>46281</x:v>
      </x:c>
      <x:c r="H102" s="30" t="n">
        <x:f>COUNTIFS('Marché'!$C$7:$C$106,B102,'Marché'!$D$7:$D$106,C102)</x:f>
        <x:v>1</x:v>
      </x:c>
      <x:c r="I102" s="32" t="n">
        <x:f>IF(M102="OK",D102*F102,"n.d.")</x:f>
        <x:v>73262</x:v>
      </x:c>
      <x:c r="J102" s="30" t="n">
        <x:f>IF(N102=1,SUMIFS('Dépositaire'!$Q$7:$Q$106,'Dépositaire'!$O$7:$O$106,B102,'Dépositaire'!$P$7:$P$106,C102),"n.d.")</x:f>
        <x:v>400</x:v>
      </x:c>
      <x:c r="K102" s="30" t="n">
        <x:f>IF(ISNUMBER(J102),E102-J102,"n.d.")</x:f>
        <x:v>0</x:v>
      </x:c>
      <x:c r="L102" s="37" t="str">
        <x:f>IF(OR(D102&lt;0,E102&lt;0),"Position négative","OK")</x:f>
        <x:v>OK</x:v>
      </x:c>
      <x:c r="M102" s="37" t="str">
        <x:f>IF(COUNTIFS('Marché'!$B$7:$B$106,"FR0000121972_2026-09-16")&lt;&gt;1,"Clé cours absente/dupliquée",IF(H102&lt;&gt;1,"Cours absent ou dupliqué",IF(NOT(ISNUMBER(F102)),"Cours invalide",IF(F102&lt;=0,"Cours invalide",IF(G102&lt;&gt;B102,"Cours périmé","OK")))))</x:f>
        <x:v>OK</x:v>
      </x:c>
      <x:c r="N102" s="30" t="n">
        <x:f>COUNTIFS('Dépositaire'!$O$7:$O$106,B102,'Dépositaire'!$P$7:$P$106,C102)</x:f>
        <x:v>1</x:v>
      </x:c>
      <x:c r="O102" s="30"/>
      <x:c r="P102" s="30"/>
      <x:c r="Q102" s="30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36" t="n">
        <x:v>46281</x:v>
      </x:c>
      <x:c r="C103" s="30" t="str">
        <x:v>FR0000120644</x:v>
      </x:c>
      <x:c r="D103" s="30" t="n">
        <x:f>SUMIFS($M$7:$M$76,$G$7:$G$76,C103,$D$7:$D$76,"&lt;="&amp;B103)</x:f>
        <x:v>1600</x:v>
      </x:c>
      <x:c r="E103" s="30" t="n">
        <x:f>SUMIFS($M$7:$M$76,$G$7:$G$76,C103,$D$7:$D$76,"&lt;="&amp;B103,$F$7:$F$76,"&gt;0",$F$7:$F$76,"&lt;="&amp;B103)</x:f>
        <x:v>1800</x:v>
      </x:c>
      <x:c r="F103" s="32" t="n">
        <x:f>IF(H103&lt;&gt;1,"n.d.",IF(COUNTIFS('Anomalies'!$C$19:$C$23,"FR0000120644_2026-09-16",'Anomalies'!$D$19:$D$23,"CoursEUR",'Anomalies'!$F$19:$F$23,"OUI")=1,SUMIFS('Anomalies'!$E$19:$E$23,'Anomalies'!$C$19:$C$23,"FR0000120644_2026-09-16",'Anomalies'!$D$19:$D$23,"CoursEUR",'Anomalies'!$F$19:$F$23,"OUI"),SUMIFS('Marché'!$E$7:$E$106,'Marché'!$C$7:$C$106,B103,'Marché'!$D$7:$D$106,C103)))</x:f>
        <x:v>59.89</x:v>
      </x:c>
      <x:c r="G103" s="36" t="n">
        <x:f>IF(H103&lt;&gt;1,"",IF(COUNTIFS('Anomalies'!$C$19:$C$23,"FR0000120644_2026-09-16",'Anomalies'!$D$19:$D$23,"CoursEUR",'Anomalies'!$F$19:$F$23,"OUI")=1,B103,SUMIFS('Marché'!$F$7:$F$106,'Marché'!$C$7:$C$106,B103,'Marché'!$D$7:$D$106,C103)))</x:f>
        <x:v>46281</x:v>
      </x:c>
      <x:c r="H103" s="30" t="n">
        <x:f>COUNTIFS('Marché'!$C$7:$C$106,B103,'Marché'!$D$7:$D$106,C103)</x:f>
        <x:v>1</x:v>
      </x:c>
      <x:c r="I103" s="32" t="n">
        <x:f>IF(M103="OK",D103*F103,"n.d.")</x:f>
        <x:v>95824</x:v>
      </x:c>
      <x:c r="J103" s="30" t="n">
        <x:f>IF(N103=1,SUMIFS('Dépositaire'!$Q$7:$Q$106,'Dépositaire'!$O$7:$O$106,B103,'Dépositaire'!$P$7:$P$106,C103),"n.d.")</x:f>
        <x:v>1800</x:v>
      </x:c>
      <x:c r="K103" s="30" t="n">
        <x:f>IF(ISNUMBER(J103),E103-J103,"n.d.")</x:f>
        <x:v>0</x:v>
      </x:c>
      <x:c r="L103" s="37" t="str">
        <x:f>IF(OR(D103&lt;0,E103&lt;0),"Position négative","OK")</x:f>
        <x:v>OK</x:v>
      </x:c>
      <x:c r="M103" s="37" t="str">
        <x:f>IF(COUNTIFS('Marché'!$B$7:$B$106,"FR0000120644_2026-09-16")&lt;&gt;1,"Clé cours absente/dupliquée",IF(H103&lt;&gt;1,"Cours absent ou dupliqué",IF(NOT(ISNUMBER(F103)),"Cours invalide",IF(F103&lt;=0,"Cours invalide",IF(G103&lt;&gt;B103,"Cours périmé","OK")))))</x:f>
        <x:v>OK</x:v>
      </x:c>
      <x:c r="N103" s="30" t="n">
        <x:f>COUNTIFS('Dépositaire'!$O$7:$O$106,B103,'Dépositaire'!$P$7:$P$106,C103)</x:f>
        <x:v>1</x:v>
      </x:c>
      <x:c r="O103" s="30"/>
      <x:c r="P103" s="30"/>
      <x:c r="Q103" s="30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36" t="n">
        <x:v>46281</x:v>
      </x:c>
      <x:c r="C104" s="30" t="str">
        <x:v>FR0000125486</x:v>
      </x:c>
      <x:c r="D104" s="30" t="n">
        <x:f>SUMIFS($M$7:$M$76,$G$7:$G$76,C104,$D$7:$D$76,"&lt;="&amp;B104)</x:f>
        <x:v>1000</x:v>
      </x:c>
      <x:c r="E104" s="30" t="n">
        <x:f>SUMIFS($M$7:$M$76,$G$7:$G$76,C104,$D$7:$D$76,"&lt;="&amp;B104,$F$7:$F$76,"&gt;0",$F$7:$F$76,"&lt;="&amp;B104)</x:f>
        <x:v>900</x:v>
      </x:c>
      <x:c r="F104" s="32" t="n">
        <x:f>IF(H104&lt;&gt;1,"n.d.",IF(COUNTIFS('Anomalies'!$C$19:$C$23,"FR0000125486_2026-09-16",'Anomalies'!$D$19:$D$23,"CoursEUR",'Anomalies'!$F$19:$F$23,"OUI")=1,SUMIFS('Anomalies'!$E$19:$E$23,'Anomalies'!$C$19:$C$23,"FR0000125486_2026-09-16",'Anomalies'!$D$19:$D$23,"CoursEUR",'Anomalies'!$F$19:$F$23,"OUI"),SUMIFS('Marché'!$E$7:$E$106,'Marché'!$C$7:$C$106,B104,'Marché'!$D$7:$D$106,C104)))</x:f>
        <x:v>115.79</x:v>
      </x:c>
      <x:c r="G104" s="36" t="n">
        <x:f>IF(H104&lt;&gt;1,"",IF(COUNTIFS('Anomalies'!$C$19:$C$23,"FR0000125486_2026-09-16",'Anomalies'!$D$19:$D$23,"CoursEUR",'Anomalies'!$F$19:$F$23,"OUI")=1,B104,SUMIFS('Marché'!$F$7:$F$106,'Marché'!$C$7:$C$106,B104,'Marché'!$D$7:$D$106,C104)))</x:f>
        <x:v>46281</x:v>
      </x:c>
      <x:c r="H104" s="30" t="n">
        <x:f>COUNTIFS('Marché'!$C$7:$C$106,B104,'Marché'!$D$7:$D$106,C104)</x:f>
        <x:v>1</x:v>
      </x:c>
      <x:c r="I104" s="32" t="n">
        <x:f>IF(M104="OK",D104*F104,"n.d.")</x:f>
        <x:v>115790</x:v>
      </x:c>
      <x:c r="J104" s="30" t="n">
        <x:f>IF(N104=1,SUMIFS('Dépositaire'!$Q$7:$Q$106,'Dépositaire'!$O$7:$O$106,B104,'Dépositaire'!$P$7:$P$106,C104),"n.d.")</x:f>
        <x:v>900</x:v>
      </x:c>
      <x:c r="K104" s="30" t="n">
        <x:f>IF(ISNUMBER(J104),E104-J104,"n.d.")</x:f>
        <x:v>0</x:v>
      </x:c>
      <x:c r="L104" s="37" t="str">
        <x:f>IF(OR(D104&lt;0,E104&lt;0),"Position négative","OK")</x:f>
        <x:v>OK</x:v>
      </x:c>
      <x:c r="M104" s="37" t="str">
        <x:f>IF(COUNTIFS('Marché'!$B$7:$B$106,"FR0000125486_2026-09-16")&lt;&gt;1,"Clé cours absente/dupliquée",IF(H104&lt;&gt;1,"Cours absent ou dupliqué",IF(NOT(ISNUMBER(F104)),"Cours invalide",IF(F104&lt;=0,"Cours invalide",IF(G104&lt;&gt;B104,"Cours périmé","OK")))))</x:f>
        <x:v>OK</x:v>
      </x:c>
      <x:c r="N104" s="30" t="n">
        <x:f>COUNTIFS('Dépositaire'!$O$7:$O$106,B104,'Dépositaire'!$P$7:$P$106,C104)</x:f>
        <x:v>1</x:v>
      </x:c>
      <x:c r="O104" s="30"/>
      <x:c r="P104" s="30"/>
      <x:c r="Q104" s="30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36" t="n">
        <x:v>46281</x:v>
      </x:c>
      <x:c r="C105" s="30" t="str">
        <x:v>FR0000120321</x:v>
      </x:c>
      <x:c r="D105" s="30" t="n">
        <x:f>SUMIFS($M$7:$M$76,$G$7:$G$76,C105,$D$7:$D$76,"&lt;="&amp;B105)</x:f>
        <x:v>300</x:v>
      </x:c>
      <x:c r="E105" s="30" t="n">
        <x:f>SUMIFS($M$7:$M$76,$G$7:$G$76,C105,$D$7:$D$76,"&lt;="&amp;B105,$F$7:$F$76,"&gt;0",$F$7:$F$76,"&lt;="&amp;B105)</x:f>
        <x:v>250</x:v>
      </x:c>
      <x:c r="F105" s="32" t="n">
        <x:f>IF(H105&lt;&gt;1,"n.d.",IF(COUNTIFS('Anomalies'!$C$19:$C$23,"FR0000120321_2026-09-16",'Anomalies'!$D$19:$D$23,"CoursEUR",'Anomalies'!$F$19:$F$23,"OUI")=1,SUMIFS('Anomalies'!$E$19:$E$23,'Anomalies'!$C$19:$C$23,"FR0000120321_2026-09-16",'Anomalies'!$D$19:$D$23,"CoursEUR",'Anomalies'!$F$19:$F$23,"OUI"),SUMIFS('Marché'!$E$7:$E$106,'Marché'!$C$7:$C$106,B105,'Marché'!$D$7:$D$106,C105)))</x:f>
        <x:v>384.08</x:v>
      </x:c>
      <x:c r="G105" s="36" t="n">
        <x:f>IF(H105&lt;&gt;1,"",IF(COUNTIFS('Anomalies'!$C$19:$C$23,"FR0000120321_2026-09-16",'Anomalies'!$D$19:$D$23,"CoursEUR",'Anomalies'!$F$19:$F$23,"OUI")=1,B105,SUMIFS('Marché'!$F$7:$F$106,'Marché'!$C$7:$C$106,B105,'Marché'!$D$7:$D$106,C105)))</x:f>
        <x:v>46281</x:v>
      </x:c>
      <x:c r="H105" s="30" t="n">
        <x:f>COUNTIFS('Marché'!$C$7:$C$106,B105,'Marché'!$D$7:$D$106,C105)</x:f>
        <x:v>1</x:v>
      </x:c>
      <x:c r="I105" s="32" t="n">
        <x:f>IF(M105="OK",D105*F105,"n.d.")</x:f>
        <x:v>115224</x:v>
      </x:c>
      <x:c r="J105" s="30" t="n">
        <x:f>IF(N105=1,SUMIFS('Dépositaire'!$Q$7:$Q$106,'Dépositaire'!$O$7:$O$106,B105,'Dépositaire'!$P$7:$P$106,C105),"n.d.")</x:f>
        <x:v>250</x:v>
      </x:c>
      <x:c r="K105" s="30" t="n">
        <x:f>IF(ISNUMBER(J105),E105-J105,"n.d.")</x:f>
        <x:v>0</x:v>
      </x:c>
      <x:c r="L105" s="37" t="str">
        <x:f>IF(OR(D105&lt;0,E105&lt;0),"Position négative","OK")</x:f>
        <x:v>OK</x:v>
      </x:c>
      <x:c r="M105" s="37" t="str">
        <x:f>IF(COUNTIFS('Marché'!$B$7:$B$106,"FR0000120321_2026-09-16")&lt;&gt;1,"Clé cours absente/dupliquée",IF(H105&lt;&gt;1,"Cours absent ou dupliqué",IF(NOT(ISNUMBER(F105)),"Cours invalide",IF(F105&lt;=0,"Cours invalide",IF(G105&lt;&gt;B105,"Cours périmé","OK")))))</x:f>
        <x:v>OK</x:v>
      </x:c>
      <x:c r="N105" s="30" t="n">
        <x:f>COUNTIFS('Dépositaire'!$O$7:$O$106,B105,'Dépositaire'!$P$7:$P$106,C105)</x:f>
        <x:v>1</x:v>
      </x:c>
      <x:c r="O105" s="30"/>
      <x:c r="P105" s="30"/>
      <x:c r="Q105" s="30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36" t="n">
        <x:v>46282</x:v>
      </x:c>
      <x:c r="C106" s="30" t="str">
        <x:v>FR0000120073</x:v>
      </x:c>
      <x:c r="D106" s="30" t="n">
        <x:f>SUMIFS($M$7:$M$76,$G$7:$G$76,C106,$D$7:$D$76,"&lt;="&amp;B106)</x:f>
        <x:v>620</x:v>
      </x:c>
      <x:c r="E106" s="30" t="n">
        <x:f>SUMIFS($M$7:$M$76,$G$7:$G$76,C106,$D$7:$D$76,"&lt;="&amp;B106,$F$7:$F$76,"&gt;0",$F$7:$F$76,"&lt;="&amp;B106)</x:f>
        <x:v>700</x:v>
      </x:c>
      <x:c r="F106" s="32" t="n">
        <x:f>IF(H106&lt;&gt;1,"n.d.",IF(COUNTIFS('Anomalies'!$C$19:$C$23,"FR0000120073_2026-09-17",'Anomalies'!$D$19:$D$23,"CoursEUR",'Anomalies'!$F$19:$F$23,"OUI")=1,SUMIFS('Anomalies'!$E$19:$E$23,'Anomalies'!$C$19:$C$23,"FR0000120073_2026-09-17",'Anomalies'!$D$19:$D$23,"CoursEUR",'Anomalies'!$F$19:$F$23,"OUI"),SUMIFS('Marché'!$E$7:$E$106,'Marché'!$C$7:$C$106,B106,'Marché'!$D$7:$D$106,C106)))</x:f>
        <x:v>165.49</x:v>
      </x:c>
      <x:c r="G106" s="36" t="n">
        <x:f>IF(H106&lt;&gt;1,"",IF(COUNTIFS('Anomalies'!$C$19:$C$23,"FR0000120073_2026-09-17",'Anomalies'!$D$19:$D$23,"CoursEUR",'Anomalies'!$F$19:$F$23,"OUI")=1,B106,SUMIFS('Marché'!$F$7:$F$106,'Marché'!$C$7:$C$106,B106,'Marché'!$D$7:$D$106,C106)))</x:f>
        <x:v>46282</x:v>
      </x:c>
      <x:c r="H106" s="30" t="n">
        <x:f>COUNTIFS('Marché'!$C$7:$C$106,B106,'Marché'!$D$7:$D$106,C106)</x:f>
        <x:v>1</x:v>
      </x:c>
      <x:c r="I106" s="32" t="n">
        <x:f>IF(M106="OK",D106*F106,"n.d.")</x:f>
        <x:v>102603.8</x:v>
      </x:c>
      <x:c r="J106" s="30" t="n">
        <x:f>IF(N106=1,SUMIFS('Dépositaire'!$Q$7:$Q$106,'Dépositaire'!$O$7:$O$106,B106,'Dépositaire'!$P$7:$P$106,C106),"n.d.")</x:f>
        <x:v>700</x:v>
      </x:c>
      <x:c r="K106" s="30" t="n">
        <x:f>IF(ISNUMBER(J106),E106-J106,"n.d.")</x:f>
        <x:v>0</x:v>
      </x:c>
      <x:c r="L106" s="37" t="str">
        <x:f>IF(OR(D106&lt;0,E106&lt;0),"Position négative","OK")</x:f>
        <x:v>OK</x:v>
      </x:c>
      <x:c r="M106" s="37" t="str">
        <x:f>IF(COUNTIFS('Marché'!$B$7:$B$106,"FR0000120073_2026-09-17")&lt;&gt;1,"Clé cours absente/dupliquée",IF(H106&lt;&gt;1,"Cours absent ou dupliqué",IF(NOT(ISNUMBER(F106)),"Cours invalide",IF(F106&lt;=0,"Cours invalide",IF(G106&lt;&gt;B106,"Cours périmé","OK")))))</x:f>
        <x:v>OK</x:v>
      </x:c>
      <x:c r="N106" s="30" t="n">
        <x:f>COUNTIFS('Dépositaire'!$O$7:$O$106,B106,'Dépositaire'!$P$7:$P$106,C106)</x:f>
        <x:v>1</x:v>
      </x:c>
      <x:c r="O106" s="30"/>
      <x:c r="P106" s="30"/>
      <x:c r="Q106" s="30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36" t="n">
        <x:v>46282</x:v>
      </x:c>
      <x:c r="C107" s="30" t="str">
        <x:v>FR0000121972</x:v>
      </x:c>
      <x:c r="D107" s="30" t="n">
        <x:f>SUMIFS($M$7:$M$76,$G$7:$G$76,C107,$D$7:$D$76,"&lt;="&amp;B107)</x:f>
        <x:v>350</x:v>
      </x:c>
      <x:c r="E107" s="30" t="n">
        <x:f>SUMIFS($M$7:$M$76,$G$7:$G$76,C107,$D$7:$D$76,"&lt;="&amp;B107,$F$7:$F$76,"&gt;0",$F$7:$F$76,"&lt;="&amp;B107)</x:f>
        <x:v>400</x:v>
      </x:c>
      <x:c r="F107" s="32" t="n">
        <x:f>IF(H107&lt;&gt;1,"n.d.",IF(COUNTIFS('Anomalies'!$C$19:$C$23,"FR0000121972_2026-09-17",'Anomalies'!$D$19:$D$23,"CoursEUR",'Anomalies'!$F$19:$F$23,"OUI")=1,SUMIFS('Anomalies'!$E$19:$E$23,'Anomalies'!$C$19:$C$23,"FR0000121972_2026-09-17",'Anomalies'!$D$19:$D$23,"CoursEUR",'Anomalies'!$F$19:$F$23,"OUI"),SUMIFS('Marché'!$E$7:$E$106,'Marché'!$C$7:$C$106,B107,'Marché'!$D$7:$D$106,C107)))</x:f>
        <x:v>209.33</x:v>
      </x:c>
      <x:c r="G107" s="36" t="n">
        <x:f>IF(H107&lt;&gt;1,"",IF(COUNTIFS('Anomalies'!$C$19:$C$23,"FR0000121972_2026-09-17",'Anomalies'!$D$19:$D$23,"CoursEUR",'Anomalies'!$F$19:$F$23,"OUI")=1,B107,SUMIFS('Marché'!$F$7:$F$106,'Marché'!$C$7:$C$106,B107,'Marché'!$D$7:$D$106,C107)))</x:f>
        <x:v>46282</x:v>
      </x:c>
      <x:c r="H107" s="30" t="n">
        <x:f>COUNTIFS('Marché'!$C$7:$C$106,B107,'Marché'!$D$7:$D$106,C107)</x:f>
        <x:v>1</x:v>
      </x:c>
      <x:c r="I107" s="32" t="n">
        <x:f>IF(M107="OK",D107*F107,"n.d.")</x:f>
        <x:v>73265.5</x:v>
      </x:c>
      <x:c r="J107" s="30" t="n">
        <x:f>IF(N107=1,SUMIFS('Dépositaire'!$Q$7:$Q$106,'Dépositaire'!$O$7:$O$106,B107,'Dépositaire'!$P$7:$P$106,C107),"n.d.")</x:f>
        <x:v>400</x:v>
      </x:c>
      <x:c r="K107" s="30" t="n">
        <x:f>IF(ISNUMBER(J107),E107-J107,"n.d.")</x:f>
        <x:v>0</x:v>
      </x:c>
      <x:c r="L107" s="37" t="str">
        <x:f>IF(OR(D107&lt;0,E107&lt;0),"Position négative","OK")</x:f>
        <x:v>OK</x:v>
      </x:c>
      <x:c r="M107" s="37" t="str">
        <x:f>IF(COUNTIFS('Marché'!$B$7:$B$106,"FR0000121972_2026-09-17")&lt;&gt;1,"Clé cours absente/dupliquée",IF(H107&lt;&gt;1,"Cours absent ou dupliqué",IF(NOT(ISNUMBER(F107)),"Cours invalide",IF(F107&lt;=0,"Cours invalide",IF(G107&lt;&gt;B107,"Cours périmé","OK")))))</x:f>
        <x:v>OK</x:v>
      </x:c>
      <x:c r="N107" s="30" t="n">
        <x:f>COUNTIFS('Dépositaire'!$O$7:$O$106,B107,'Dépositaire'!$P$7:$P$106,C107)</x:f>
        <x:v>1</x:v>
      </x:c>
      <x:c r="O107" s="30"/>
      <x:c r="P107" s="30"/>
      <x:c r="Q107" s="30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36" t="n">
        <x:v>46282</x:v>
      </x:c>
      <x:c r="C108" s="30" t="str">
        <x:v>FR0000120644</x:v>
      </x:c>
      <x:c r="D108" s="30" t="n">
        <x:f>SUMIFS($M$7:$M$76,$G$7:$G$76,C108,$D$7:$D$76,"&lt;="&amp;B108)</x:f>
        <x:v>1750</x:v>
      </x:c>
      <x:c r="E108" s="30" t="n">
        <x:f>SUMIFS($M$7:$M$76,$G$7:$G$76,C108,$D$7:$D$76,"&lt;="&amp;B108,$F$7:$F$76,"&gt;0",$F$7:$F$76,"&lt;="&amp;B108)</x:f>
        <x:v>1600</x:v>
      </x:c>
      <x:c r="F108" s="32" t="n">
        <x:f>IF(H108&lt;&gt;1,"n.d.",IF(COUNTIFS('Anomalies'!$C$19:$C$23,"FR0000120644_2026-09-17",'Anomalies'!$D$19:$D$23,"CoursEUR",'Anomalies'!$F$19:$F$23,"OUI")=1,SUMIFS('Anomalies'!$E$19:$E$23,'Anomalies'!$C$19:$C$23,"FR0000120644_2026-09-17",'Anomalies'!$D$19:$D$23,"CoursEUR",'Anomalies'!$F$19:$F$23,"OUI"),SUMIFS('Marché'!$E$7:$E$106,'Marché'!$C$7:$C$106,B108,'Marché'!$D$7:$D$106,C108)))</x:f>
        <x:v>60.36</x:v>
      </x:c>
      <x:c r="G108" s="36" t="n">
        <x:f>IF(H108&lt;&gt;1,"",IF(COUNTIFS('Anomalies'!$C$19:$C$23,"FR0000120644_2026-09-17",'Anomalies'!$D$19:$D$23,"CoursEUR",'Anomalies'!$F$19:$F$23,"OUI")=1,B108,SUMIFS('Marché'!$F$7:$F$106,'Marché'!$C$7:$C$106,B108,'Marché'!$D$7:$D$106,C108)))</x:f>
        <x:v>46282</x:v>
      </x:c>
      <x:c r="H108" s="30" t="n">
        <x:f>COUNTIFS('Marché'!$C$7:$C$106,B108,'Marché'!$D$7:$D$106,C108)</x:f>
        <x:v>1</x:v>
      </x:c>
      <x:c r="I108" s="32" t="n">
        <x:f>IF(M108="OK",D108*F108,"n.d.")</x:f>
        <x:v>105630</x:v>
      </x:c>
      <x:c r="J108" s="30" t="n">
        <x:f>IF(N108=1,SUMIFS('Dépositaire'!$Q$7:$Q$106,'Dépositaire'!$O$7:$O$106,B108,'Dépositaire'!$P$7:$P$106,C108),"n.d.")</x:f>
        <x:v>1600</x:v>
      </x:c>
      <x:c r="K108" s="30" t="n">
        <x:f>IF(ISNUMBER(J108),E108-J108,"n.d.")</x:f>
        <x:v>0</x:v>
      </x:c>
      <x:c r="L108" s="37" t="str">
        <x:f>IF(OR(D108&lt;0,E108&lt;0),"Position négative","OK")</x:f>
        <x:v>OK</x:v>
      </x:c>
      <x:c r="M108" s="37" t="str">
        <x:f>IF(COUNTIFS('Marché'!$B$7:$B$106,"FR0000120644_2026-09-17")&lt;&gt;1,"Clé cours absente/dupliquée",IF(H108&lt;&gt;1,"Cours absent ou dupliqué",IF(NOT(ISNUMBER(F108)),"Cours invalide",IF(F108&lt;=0,"Cours invalide",IF(G108&lt;&gt;B108,"Cours périmé","OK")))))</x:f>
        <x:v>OK</x:v>
      </x:c>
      <x:c r="N108" s="30" t="n">
        <x:f>COUNTIFS('Dépositaire'!$O$7:$O$106,B108,'Dépositaire'!$P$7:$P$106,C108)</x:f>
        <x:v>1</x:v>
      </x:c>
      <x:c r="O108" s="30"/>
      <x:c r="P108" s="30"/>
      <x:c r="Q108" s="30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36" t="n">
        <x:v>46282</x:v>
      </x:c>
      <x:c r="C109" s="30" t="str">
        <x:v>FR0000125486</x:v>
      </x:c>
      <x:c r="D109" s="30" t="n">
        <x:f>SUMIFS($M$7:$M$76,$G$7:$G$76,C109,$D$7:$D$76,"&lt;="&amp;B109)</x:f>
        <x:v>1000</x:v>
      </x:c>
      <x:c r="E109" s="30" t="n">
        <x:f>SUMIFS($M$7:$M$76,$G$7:$G$76,C109,$D$7:$D$76,"&lt;="&amp;B109,$F$7:$F$76,"&gt;0",$F$7:$F$76,"&lt;="&amp;B109)</x:f>
        <x:v>900</x:v>
      </x:c>
      <x:c r="F109" s="32" t="n">
        <x:f>IF(H109&lt;&gt;1,"n.d.",IF(COUNTIFS('Anomalies'!$C$19:$C$23,"FR0000125486_2026-09-17",'Anomalies'!$D$19:$D$23,"CoursEUR",'Anomalies'!$F$19:$F$23,"OUI")=1,SUMIFS('Anomalies'!$E$19:$E$23,'Anomalies'!$C$19:$C$23,"FR0000125486_2026-09-17",'Anomalies'!$D$19:$D$23,"CoursEUR",'Anomalies'!$F$19:$F$23,"OUI"),SUMIFS('Marché'!$E$7:$E$106,'Marché'!$C$7:$C$106,B109,'Marché'!$D$7:$D$106,C109)))</x:f>
        <x:v>115.31</x:v>
      </x:c>
      <x:c r="G109" s="36" t="n">
        <x:f>IF(H109&lt;&gt;1,"",IF(COUNTIFS('Anomalies'!$C$19:$C$23,"FR0000125486_2026-09-17",'Anomalies'!$D$19:$D$23,"CoursEUR",'Anomalies'!$F$19:$F$23,"OUI")=1,B109,SUMIFS('Marché'!$F$7:$F$106,'Marché'!$C$7:$C$106,B109,'Marché'!$D$7:$D$106,C109)))</x:f>
        <x:v>46282</x:v>
      </x:c>
      <x:c r="H109" s="30" t="n">
        <x:f>COUNTIFS('Marché'!$C$7:$C$106,B109,'Marché'!$D$7:$D$106,C109)</x:f>
        <x:v>1</x:v>
      </x:c>
      <x:c r="I109" s="32" t="n">
        <x:f>IF(M109="OK",D109*F109,"n.d.")</x:f>
        <x:v>115310</x:v>
      </x:c>
      <x:c r="J109" s="30" t="n">
        <x:f>IF(N109=1,SUMIFS('Dépositaire'!$Q$7:$Q$106,'Dépositaire'!$O$7:$O$106,B109,'Dépositaire'!$P$7:$P$106,C109),"n.d.")</x:f>
        <x:v>900</x:v>
      </x:c>
      <x:c r="K109" s="30" t="n">
        <x:f>IF(ISNUMBER(J109),E109-J109,"n.d.")</x:f>
        <x:v>0</x:v>
      </x:c>
      <x:c r="L109" s="37" t="str">
        <x:f>IF(OR(D109&lt;0,E109&lt;0),"Position négative","OK")</x:f>
        <x:v>OK</x:v>
      </x:c>
      <x:c r="M109" s="37" t="str">
        <x:f>IF(COUNTIFS('Marché'!$B$7:$B$106,"FR0000125486_2026-09-17")&lt;&gt;1,"Clé cours absente/dupliquée",IF(H109&lt;&gt;1,"Cours absent ou dupliqué",IF(NOT(ISNUMBER(F109)),"Cours invalide",IF(F109&lt;=0,"Cours invalide",IF(G109&lt;&gt;B109,"Cours périmé","OK")))))</x:f>
        <x:v>OK</x:v>
      </x:c>
      <x:c r="N109" s="30" t="n">
        <x:f>COUNTIFS('Dépositaire'!$O$7:$O$106,B109,'Dépositaire'!$P$7:$P$106,C109)</x:f>
        <x:v>1</x:v>
      </x:c>
      <x:c r="O109" s="30"/>
      <x:c r="P109" s="30"/>
      <x:c r="Q109" s="30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36" t="n">
        <x:v>46282</x:v>
      </x:c>
      <x:c r="C110" s="30" t="str">
        <x:v>FR0000120321</x:v>
      </x:c>
      <x:c r="D110" s="30" t="n">
        <x:f>SUMIFS($M$7:$M$76,$G$7:$G$76,C110,$D$7:$D$76,"&lt;="&amp;B110)</x:f>
        <x:v>300</x:v>
      </x:c>
      <x:c r="E110" s="30" t="n">
        <x:f>SUMIFS($M$7:$M$76,$G$7:$G$76,C110,$D$7:$D$76,"&lt;="&amp;B110,$F$7:$F$76,"&gt;0",$F$7:$F$76,"&lt;="&amp;B110)</x:f>
        <x:v>300</x:v>
      </x:c>
      <x:c r="F110" s="32" t="n">
        <x:f>IF(H110&lt;&gt;1,"n.d.",IF(COUNTIFS('Anomalies'!$C$19:$C$23,"FR0000120321_2026-09-17",'Anomalies'!$D$19:$D$23,"CoursEUR",'Anomalies'!$F$19:$F$23,"OUI")=1,SUMIFS('Anomalies'!$E$19:$E$23,'Anomalies'!$C$19:$C$23,"FR0000120321_2026-09-17",'Anomalies'!$D$19:$D$23,"CoursEUR",'Anomalies'!$F$19:$F$23,"OUI"),SUMIFS('Marché'!$E$7:$E$106,'Marché'!$C$7:$C$106,B110,'Marché'!$D$7:$D$106,C110)))</x:f>
        <x:v>383.97</x:v>
      </x:c>
      <x:c r="G110" s="36" t="n">
        <x:f>IF(H110&lt;&gt;1,"",IF(COUNTIFS('Anomalies'!$C$19:$C$23,"FR0000120321_2026-09-17",'Anomalies'!$D$19:$D$23,"CoursEUR",'Anomalies'!$F$19:$F$23,"OUI")=1,B110,SUMIFS('Marché'!$F$7:$F$106,'Marché'!$C$7:$C$106,B110,'Marché'!$D$7:$D$106,C110)))</x:f>
        <x:v>46282</x:v>
      </x:c>
      <x:c r="H110" s="30" t="n">
        <x:f>COUNTIFS('Marché'!$C$7:$C$106,B110,'Marché'!$D$7:$D$106,C110)</x:f>
        <x:v>1</x:v>
      </x:c>
      <x:c r="I110" s="32" t="n">
        <x:f>IF(M110="OK",D110*F110,"n.d.")</x:f>
        <x:v>115191.00000000001</x:v>
      </x:c>
      <x:c r="J110" s="30" t="n">
        <x:f>IF(N110=1,SUMIFS('Dépositaire'!$Q$7:$Q$106,'Dépositaire'!$O$7:$O$106,B110,'Dépositaire'!$P$7:$P$106,C110),"n.d.")</x:f>
        <x:v>300</x:v>
      </x:c>
      <x:c r="K110" s="30" t="n">
        <x:f>IF(ISNUMBER(J110),E110-J110,"n.d.")</x:f>
        <x:v>0</x:v>
      </x:c>
      <x:c r="L110" s="37" t="str">
        <x:f>IF(OR(D110&lt;0,E110&lt;0),"Position négative","OK")</x:f>
        <x:v>OK</x:v>
      </x:c>
      <x:c r="M110" s="37" t="str">
        <x:f>IF(COUNTIFS('Marché'!$B$7:$B$106,"FR0000120321_2026-09-17")&lt;&gt;1,"Clé cours absente/dupliquée",IF(H110&lt;&gt;1,"Cours absent ou dupliqué",IF(NOT(ISNUMBER(F110)),"Cours invalide",IF(F110&lt;=0,"Cours invalide",IF(G110&lt;&gt;B110,"Cours périmé","OK")))))</x:f>
        <x:v>OK</x:v>
      </x:c>
      <x:c r="N110" s="30" t="n">
        <x:f>COUNTIFS('Dépositaire'!$O$7:$O$106,B110,'Dépositaire'!$P$7:$P$106,C110)</x:f>
        <x:v>1</x:v>
      </x:c>
      <x:c r="O110" s="30"/>
      <x:c r="P110" s="30"/>
      <x:c r="Q110" s="30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36" t="n">
        <x:v>46283</x:v>
      </x:c>
      <x:c r="C111" s="30" t="str">
        <x:v>FR0000120073</x:v>
      </x:c>
      <x:c r="D111" s="30" t="n">
        <x:f>SUMIFS($M$7:$M$76,$G$7:$G$76,C111,$D$7:$D$76,"&lt;="&amp;B111)</x:f>
        <x:v>620</x:v>
      </x:c>
      <x:c r="E111" s="30" t="n">
        <x:f>SUMIFS($M$7:$M$76,$G$7:$G$76,C111,$D$7:$D$76,"&lt;="&amp;B111,$F$7:$F$76,"&gt;0",$F$7:$F$76,"&lt;="&amp;B111)</x:f>
        <x:v>700</x:v>
      </x:c>
      <x:c r="F111" s="32" t="n">
        <x:f>IF(H111&lt;&gt;1,"n.d.",IF(COUNTIFS('Anomalies'!$C$19:$C$23,"FR0000120073_2026-09-18",'Anomalies'!$D$19:$D$23,"CoursEUR",'Anomalies'!$F$19:$F$23,"OUI")=1,SUMIFS('Anomalies'!$E$19:$E$23,'Anomalies'!$C$19:$C$23,"FR0000120073_2026-09-18",'Anomalies'!$D$19:$D$23,"CoursEUR",'Anomalies'!$F$19:$F$23,"OUI"),SUMIFS('Marché'!$E$7:$E$106,'Marché'!$C$7:$C$106,B111,'Marché'!$D$7:$D$106,C111)))</x:f>
        <x:v>166.12</x:v>
      </x:c>
      <x:c r="G111" s="36" t="n">
        <x:f>IF(H111&lt;&gt;1,"",IF(COUNTIFS('Anomalies'!$C$19:$C$23,"FR0000120073_2026-09-18",'Anomalies'!$D$19:$D$23,"CoursEUR",'Anomalies'!$F$19:$F$23,"OUI")=1,B111,SUMIFS('Marché'!$F$7:$F$106,'Marché'!$C$7:$C$106,B111,'Marché'!$D$7:$D$106,C111)))</x:f>
        <x:v>46283</x:v>
      </x:c>
      <x:c r="H111" s="30" t="n">
        <x:f>COUNTIFS('Marché'!$C$7:$C$106,B111,'Marché'!$D$7:$D$106,C111)</x:f>
        <x:v>1</x:v>
      </x:c>
      <x:c r="I111" s="32" t="n">
        <x:f>IF(M111="OK",D111*F111,"n.d.")</x:f>
        <x:v>102994.40000000001</x:v>
      </x:c>
      <x:c r="J111" s="30" t="n">
        <x:f>IF(N111=1,SUMIFS('Dépositaire'!$Q$7:$Q$106,'Dépositaire'!$O$7:$O$106,B111,'Dépositaire'!$P$7:$P$106,C111),"n.d.")</x:f>
        <x:v>700</x:v>
      </x:c>
      <x:c r="K111" s="30" t="n">
        <x:f>IF(ISNUMBER(J111),E111-J111,"n.d.")</x:f>
        <x:v>0</x:v>
      </x:c>
      <x:c r="L111" s="37" t="str">
        <x:f>IF(OR(D111&lt;0,E111&lt;0),"Position négative","OK")</x:f>
        <x:v>OK</x:v>
      </x:c>
      <x:c r="M111" s="37" t="str">
        <x:f>IF(COUNTIFS('Marché'!$B$7:$B$106,"FR0000120073_2026-09-18")&lt;&gt;1,"Clé cours absente/dupliquée",IF(H111&lt;&gt;1,"Cours absent ou dupliqué",IF(NOT(ISNUMBER(F111)),"Cours invalide",IF(F111&lt;=0,"Cours invalide",IF(G111&lt;&gt;B111,"Cours périmé","OK")))))</x:f>
        <x:v>OK</x:v>
      </x:c>
      <x:c r="N111" s="30" t="n">
        <x:f>COUNTIFS('Dépositaire'!$O$7:$O$106,B111,'Dépositaire'!$P$7:$P$106,C111)</x:f>
        <x:v>1</x:v>
      </x:c>
      <x:c r="O111" s="30"/>
      <x:c r="P111" s="30"/>
      <x:c r="Q111" s="30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36" t="n">
        <x:v>46283</x:v>
      </x:c>
      <x:c r="C112" s="30" t="str">
        <x:v>FR0000121972</x:v>
      </x:c>
      <x:c r="D112" s="30" t="n">
        <x:f>SUMIFS($M$7:$M$76,$G$7:$G$76,C112,$D$7:$D$76,"&lt;="&amp;B112)</x:f>
        <x:v>410</x:v>
      </x:c>
      <x:c r="E112" s="30" t="n">
        <x:f>SUMIFS($M$7:$M$76,$G$7:$G$76,C112,$D$7:$D$76,"&lt;="&amp;B112,$F$7:$F$76,"&gt;0",$F$7:$F$76,"&lt;="&amp;B112)</x:f>
        <x:v>350</x:v>
      </x:c>
      <x:c r="F112" s="32" t="n">
        <x:f>IF(H112&lt;&gt;1,"n.d.",IF(COUNTIFS('Anomalies'!$C$19:$C$23,"FR0000121972_2026-09-18",'Anomalies'!$D$19:$D$23,"CoursEUR",'Anomalies'!$F$19:$F$23,"OUI")=1,SUMIFS('Anomalies'!$E$19:$E$23,'Anomalies'!$C$19:$C$23,"FR0000121972_2026-09-18",'Anomalies'!$D$19:$D$23,"CoursEUR",'Anomalies'!$F$19:$F$23,"OUI"),SUMIFS('Marché'!$E$7:$E$106,'Marché'!$C$7:$C$106,B112,'Marché'!$D$7:$D$106,C112)))</x:f>
        <x:v>208.29</x:v>
      </x:c>
      <x:c r="G112" s="36" t="n">
        <x:f>IF(H112&lt;&gt;1,"",IF(COUNTIFS('Anomalies'!$C$19:$C$23,"FR0000121972_2026-09-18",'Anomalies'!$D$19:$D$23,"CoursEUR",'Anomalies'!$F$19:$F$23,"OUI")=1,B112,SUMIFS('Marché'!$F$7:$F$106,'Marché'!$C$7:$C$106,B112,'Marché'!$D$7:$D$106,C112)))</x:f>
        <x:v>46283</x:v>
      </x:c>
      <x:c r="H112" s="30" t="n">
        <x:f>COUNTIFS('Marché'!$C$7:$C$106,B112,'Marché'!$D$7:$D$106,C112)</x:f>
        <x:v>1</x:v>
      </x:c>
      <x:c r="I112" s="32" t="n">
        <x:f>IF(M112="OK",D112*F112,"n.d.")</x:f>
        <x:v>85398.9</x:v>
      </x:c>
      <x:c r="J112" s="30" t="n">
        <x:f>IF(N112=1,SUMIFS('Dépositaire'!$Q$7:$Q$106,'Dépositaire'!$O$7:$O$106,B112,'Dépositaire'!$P$7:$P$106,C112),"n.d.")</x:f>
        <x:v>350</x:v>
      </x:c>
      <x:c r="K112" s="30" t="n">
        <x:f>IF(ISNUMBER(J112),E112-J112,"n.d.")</x:f>
        <x:v>0</x:v>
      </x:c>
      <x:c r="L112" s="37" t="str">
        <x:f>IF(OR(D112&lt;0,E112&lt;0),"Position négative","OK")</x:f>
        <x:v>OK</x:v>
      </x:c>
      <x:c r="M112" s="37" t="str">
        <x:f>IF(COUNTIFS('Marché'!$B$7:$B$106,"FR0000121972_2026-09-18")&lt;&gt;1,"Clé cours absente/dupliquée",IF(H112&lt;&gt;1,"Cours absent ou dupliqué",IF(NOT(ISNUMBER(F112)),"Cours invalide",IF(F112&lt;=0,"Cours invalide",IF(G112&lt;&gt;B112,"Cours périmé","OK")))))</x:f>
        <x:v>OK</x:v>
      </x:c>
      <x:c r="N112" s="30" t="n">
        <x:f>COUNTIFS('Dépositaire'!$O$7:$O$106,B112,'Dépositaire'!$P$7:$P$106,C112)</x:f>
        <x:v>1</x:v>
      </x:c>
      <x:c r="O112" s="30"/>
      <x:c r="P112" s="30"/>
      <x:c r="Q112" s="30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36" t="n">
        <x:v>46283</x:v>
      </x:c>
      <x:c r="C113" s="30" t="str">
        <x:v>FR0000120644</x:v>
      </x:c>
      <x:c r="D113" s="30" t="n">
        <x:f>SUMIFS($M$7:$M$76,$G$7:$G$76,C113,$D$7:$D$76,"&lt;="&amp;B113)</x:f>
        <x:v>1750</x:v>
      </x:c>
      <x:c r="E113" s="30" t="n">
        <x:f>SUMIFS($M$7:$M$76,$G$7:$G$76,C113,$D$7:$D$76,"&lt;="&amp;B113,$F$7:$F$76,"&gt;0",$F$7:$F$76,"&lt;="&amp;B113)</x:f>
        <x:v>1600</x:v>
      </x:c>
      <x:c r="F113" s="32" t="n">
        <x:f>IF(H113&lt;&gt;1,"n.d.",IF(COUNTIFS('Anomalies'!$C$19:$C$23,"FR0000120644_2026-09-18",'Anomalies'!$D$19:$D$23,"CoursEUR",'Anomalies'!$F$19:$F$23,"OUI")=1,SUMIFS('Anomalies'!$E$19:$E$23,'Anomalies'!$C$19:$C$23,"FR0000120644_2026-09-18",'Anomalies'!$D$19:$D$23,"CoursEUR",'Anomalies'!$F$19:$F$23,"OUI"),SUMIFS('Marché'!$E$7:$E$106,'Marché'!$C$7:$C$106,B113,'Marché'!$D$7:$D$106,C113)))</x:f>
        <x:v>60.83</x:v>
      </x:c>
      <x:c r="G113" s="36" t="n">
        <x:f>IF(H113&lt;&gt;1,"",IF(COUNTIFS('Anomalies'!$C$19:$C$23,"FR0000120644_2026-09-18",'Anomalies'!$D$19:$D$23,"CoursEUR",'Anomalies'!$F$19:$F$23,"OUI")=1,B113,SUMIFS('Marché'!$F$7:$F$106,'Marché'!$C$7:$C$106,B113,'Marché'!$D$7:$D$106,C113)))</x:f>
        <x:v>46283</x:v>
      </x:c>
      <x:c r="H113" s="30" t="n">
        <x:f>COUNTIFS('Marché'!$C$7:$C$106,B113,'Marché'!$D$7:$D$106,C113)</x:f>
        <x:v>1</x:v>
      </x:c>
      <x:c r="I113" s="32" t="n">
        <x:f>IF(M113="OK",D113*F113,"n.d.")</x:f>
        <x:v>106452.5</x:v>
      </x:c>
      <x:c r="J113" s="30" t="n">
        <x:f>IF(N113=1,SUMIFS('Dépositaire'!$Q$7:$Q$106,'Dépositaire'!$O$7:$O$106,B113,'Dépositaire'!$P$7:$P$106,C113),"n.d.")</x:f>
        <x:v>1600</x:v>
      </x:c>
      <x:c r="K113" s="30" t="n">
        <x:f>IF(ISNUMBER(J113),E113-J113,"n.d.")</x:f>
        <x:v>0</x:v>
      </x:c>
      <x:c r="L113" s="37" t="str">
        <x:f>IF(OR(D113&lt;0,E113&lt;0),"Position négative","OK")</x:f>
        <x:v>OK</x:v>
      </x:c>
      <x:c r="M113" s="37" t="str">
        <x:f>IF(COUNTIFS('Marché'!$B$7:$B$106,"FR0000120644_2026-09-18")&lt;&gt;1,"Clé cours absente/dupliquée",IF(H113&lt;&gt;1,"Cours absent ou dupliqué",IF(NOT(ISNUMBER(F113)),"Cours invalide",IF(F113&lt;=0,"Cours invalide",IF(G113&lt;&gt;B113,"Cours périmé","OK")))))</x:f>
        <x:v>OK</x:v>
      </x:c>
      <x:c r="N113" s="30" t="n">
        <x:f>COUNTIFS('Dépositaire'!$O$7:$O$106,B113,'Dépositaire'!$P$7:$P$106,C113)</x:f>
        <x:v>1</x:v>
      </x:c>
      <x:c r="O113" s="30"/>
      <x:c r="P113" s="30"/>
      <x:c r="Q113" s="30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36" t="n">
        <x:v>46283</x:v>
      </x:c>
      <x:c r="C114" s="30" t="str">
        <x:v>FR0000125486</x:v>
      </x:c>
      <x:c r="D114" s="30" t="n">
        <x:f>SUMIFS($M$7:$M$76,$G$7:$G$76,C114,$D$7:$D$76,"&lt;="&amp;B114)</x:f>
        <x:v>900</x:v>
      </x:c>
      <x:c r="E114" s="30" t="n">
        <x:f>SUMIFS($M$7:$M$76,$G$7:$G$76,C114,$D$7:$D$76,"&lt;="&amp;B114,$F$7:$F$76,"&gt;0",$F$7:$F$76,"&lt;="&amp;B114)</x:f>
        <x:v>1000</x:v>
      </x:c>
      <x:c r="F114" s="32" t="n">
        <x:f>IF(H114&lt;&gt;1,"n.d.",IF(COUNTIFS('Anomalies'!$C$19:$C$23,"FR0000125486_2026-09-18",'Anomalies'!$D$19:$D$23,"CoursEUR",'Anomalies'!$F$19:$F$23,"OUI")=1,SUMIFS('Anomalies'!$E$19:$E$23,'Anomalies'!$C$19:$C$23,"FR0000125486_2026-09-18",'Anomalies'!$D$19:$D$23,"CoursEUR",'Anomalies'!$F$19:$F$23,"OUI"),SUMIFS('Marché'!$E$7:$E$106,'Marché'!$C$7:$C$106,B114,'Marché'!$D$7:$D$106,C114)))</x:f>
        <x:v>115.88</x:v>
      </x:c>
      <x:c r="G114" s="36" t="n">
        <x:f>IF(H114&lt;&gt;1,"",IF(COUNTIFS('Anomalies'!$C$19:$C$23,"FR0000125486_2026-09-18",'Anomalies'!$D$19:$D$23,"CoursEUR",'Anomalies'!$F$19:$F$23,"OUI")=1,B114,SUMIFS('Marché'!$F$7:$F$106,'Marché'!$C$7:$C$106,B114,'Marché'!$D$7:$D$106,C114)))</x:f>
        <x:v>46283</x:v>
      </x:c>
      <x:c r="H114" s="30" t="n">
        <x:f>COUNTIFS('Marché'!$C$7:$C$106,B114,'Marché'!$D$7:$D$106,C114)</x:f>
        <x:v>1</x:v>
      </x:c>
      <x:c r="I114" s="32" t="n">
        <x:f>IF(M114="OK",D114*F114,"n.d.")</x:f>
        <x:v>104292</x:v>
      </x:c>
      <x:c r="J114" s="30" t="n">
        <x:f>IF(N114=1,SUMIFS('Dépositaire'!$Q$7:$Q$106,'Dépositaire'!$O$7:$O$106,B114,'Dépositaire'!$P$7:$P$106,C114),"n.d.")</x:f>
        <x:v>1000</x:v>
      </x:c>
      <x:c r="K114" s="30" t="n">
        <x:f>IF(ISNUMBER(J114),E114-J114,"n.d.")</x:f>
        <x:v>0</x:v>
      </x:c>
      <x:c r="L114" s="37" t="str">
        <x:f>IF(OR(D114&lt;0,E114&lt;0),"Position négative","OK")</x:f>
        <x:v>OK</x:v>
      </x:c>
      <x:c r="M114" s="37" t="str">
        <x:f>IF(COUNTIFS('Marché'!$B$7:$B$106,"FR0000125486_2026-09-18")&lt;&gt;1,"Clé cours absente/dupliquée",IF(H114&lt;&gt;1,"Cours absent ou dupliqué",IF(NOT(ISNUMBER(F114)),"Cours invalide",IF(F114&lt;=0,"Cours invalide",IF(G114&lt;&gt;B114,"Cours périmé","OK")))))</x:f>
        <x:v>OK</x:v>
      </x:c>
      <x:c r="N114" s="30" t="n">
        <x:f>COUNTIFS('Dépositaire'!$O$7:$O$106,B114,'Dépositaire'!$P$7:$P$106,C114)</x:f>
        <x:v>1</x:v>
      </x:c>
      <x:c r="O114" s="30"/>
      <x:c r="P114" s="30"/>
      <x:c r="Q114" s="30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36" t="n">
        <x:v>46283</x:v>
      </x:c>
      <x:c r="C115" s="30" t="str">
        <x:v>FR0000120321</x:v>
      </x:c>
      <x:c r="D115" s="30" t="n">
        <x:f>SUMIFS($M$7:$M$76,$G$7:$G$76,C115,$D$7:$D$76,"&lt;="&amp;B115)</x:f>
        <x:v>270</x:v>
      </x:c>
      <x:c r="E115" s="30" t="n">
        <x:f>SUMIFS($M$7:$M$76,$G$7:$G$76,C115,$D$7:$D$76,"&lt;="&amp;B115,$F$7:$F$76,"&gt;0",$F$7:$F$76,"&lt;="&amp;B115)</x:f>
        <x:v>300</x:v>
      </x:c>
      <x:c r="F115" s="32" t="n">
        <x:f>IF(H115&lt;&gt;1,"n.d.",IF(COUNTIFS('Anomalies'!$C$19:$C$23,"FR0000120321_2026-09-18",'Anomalies'!$D$19:$D$23,"CoursEUR",'Anomalies'!$F$19:$F$23,"OUI")=1,SUMIFS('Anomalies'!$E$19:$E$23,'Anomalies'!$C$19:$C$23,"FR0000120321_2026-09-18",'Anomalies'!$D$19:$D$23,"CoursEUR",'Anomalies'!$F$19:$F$23,"OUI"),SUMIFS('Marché'!$E$7:$E$106,'Marché'!$C$7:$C$106,B115,'Marché'!$D$7:$D$106,C115)))</x:f>
        <x:v>382.81</x:v>
      </x:c>
      <x:c r="G115" s="36" t="n">
        <x:f>IF(H115&lt;&gt;1,"",IF(COUNTIFS('Anomalies'!$C$19:$C$23,"FR0000120321_2026-09-18",'Anomalies'!$D$19:$D$23,"CoursEUR",'Anomalies'!$F$19:$F$23,"OUI")=1,B115,SUMIFS('Marché'!$F$7:$F$106,'Marché'!$C$7:$C$106,B115,'Marché'!$D$7:$D$106,C115)))</x:f>
        <x:v>46283</x:v>
      </x:c>
      <x:c r="H115" s="30" t="n">
        <x:f>COUNTIFS('Marché'!$C$7:$C$106,B115,'Marché'!$D$7:$D$106,C115)</x:f>
        <x:v>1</x:v>
      </x:c>
      <x:c r="I115" s="32" t="n">
        <x:f>IF(M115="OK",D115*F115,"n.d.")</x:f>
        <x:v>103358.7</x:v>
      </x:c>
      <x:c r="J115" s="30" t="n">
        <x:f>IF(N115=1,SUMIFS('Dépositaire'!$Q$7:$Q$106,'Dépositaire'!$O$7:$O$106,B115,'Dépositaire'!$P$7:$P$106,C115),"n.d.")</x:f>
        <x:v>300</x:v>
      </x:c>
      <x:c r="K115" s="30" t="n">
        <x:f>IF(ISNUMBER(J115),E115-J115,"n.d.")</x:f>
        <x:v>0</x:v>
      </x:c>
      <x:c r="L115" s="37" t="str">
        <x:f>IF(OR(D115&lt;0,E115&lt;0),"Position négative","OK")</x:f>
        <x:v>OK</x:v>
      </x:c>
      <x:c r="M115" s="37" t="str">
        <x:f>IF(COUNTIFS('Marché'!$B$7:$B$106,"FR0000120321_2026-09-18")&lt;&gt;1,"Clé cours absente/dupliquée",IF(H115&lt;&gt;1,"Cours absent ou dupliqué",IF(NOT(ISNUMBER(F115)),"Cours invalide",IF(F115&lt;=0,"Cours invalide",IF(G115&lt;&gt;B115,"Cours périmé","OK")))))</x:f>
        <x:v>OK</x:v>
      </x:c>
      <x:c r="N115" s="30" t="n">
        <x:f>COUNTIFS('Dépositaire'!$O$7:$O$106,B115,'Dépositaire'!$P$7:$P$106,C115)</x:f>
        <x:v>1</x:v>
      </x:c>
      <x:c r="O115" s="30"/>
      <x:c r="P115" s="30"/>
      <x:c r="Q115" s="30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36" t="n">
        <x:v>46286</x:v>
      </x:c>
      <x:c r="C116" s="30" t="str">
        <x:v>FR0000120073</x:v>
      </x:c>
      <x:c r="D116" s="30" t="n">
        <x:f>SUMIFS($M$7:$M$76,$G$7:$G$76,C116,$D$7:$D$76,"&lt;="&amp;B116)</x:f>
        <x:v>690</x:v>
      </x:c>
      <x:c r="E116" s="30" t="n">
        <x:f>SUMIFS($M$7:$M$76,$G$7:$G$76,C116,$D$7:$D$76,"&lt;="&amp;B116,$F$7:$F$76,"&gt;0",$F$7:$F$76,"&lt;="&amp;B116)</x:f>
        <x:v>620</x:v>
      </x:c>
      <x:c r="F116" s="32" t="n">
        <x:f>IF(H116&lt;&gt;1,"n.d.",IF(COUNTIFS('Anomalies'!$C$19:$C$23,"FR0000120073_2026-09-21",'Anomalies'!$D$19:$D$23,"CoursEUR",'Anomalies'!$F$19:$F$23,"OUI")=1,SUMIFS('Anomalies'!$E$19:$E$23,'Anomalies'!$C$19:$C$23,"FR0000120073_2026-09-21",'Anomalies'!$D$19:$D$23,"CoursEUR",'Anomalies'!$F$19:$F$23,"OUI"),SUMIFS('Marché'!$E$7:$E$106,'Marché'!$C$7:$C$106,B116,'Marché'!$D$7:$D$106,C116)))</x:f>
        <x:v>166.75</x:v>
      </x:c>
      <x:c r="G116" s="36" t="n">
        <x:f>IF(H116&lt;&gt;1,"",IF(COUNTIFS('Anomalies'!$C$19:$C$23,"FR0000120073_2026-09-21",'Anomalies'!$D$19:$D$23,"CoursEUR",'Anomalies'!$F$19:$F$23,"OUI")=1,B116,SUMIFS('Marché'!$F$7:$F$106,'Marché'!$C$7:$C$106,B116,'Marché'!$D$7:$D$106,C116)))</x:f>
        <x:v>46286</x:v>
      </x:c>
      <x:c r="H116" s="30" t="n">
        <x:f>COUNTIFS('Marché'!$C$7:$C$106,B116,'Marché'!$D$7:$D$106,C116)</x:f>
        <x:v>1</x:v>
      </x:c>
      <x:c r="I116" s="32" t="n">
        <x:f>IF(M116="OK",D116*F116,"n.d.")</x:f>
        <x:v>115057.5</x:v>
      </x:c>
      <x:c r="J116" s="30" t="n">
        <x:f>IF(N116=1,SUMIFS('Dépositaire'!$Q$7:$Q$106,'Dépositaire'!$O$7:$O$106,B116,'Dépositaire'!$P$7:$P$106,C116),"n.d.")</x:f>
        <x:v>620</x:v>
      </x:c>
      <x:c r="K116" s="30" t="n">
        <x:f>IF(ISNUMBER(J116),E116-J116,"n.d.")</x:f>
        <x:v>0</x:v>
      </x:c>
      <x:c r="L116" s="37" t="str">
        <x:f>IF(OR(D116&lt;0,E116&lt;0),"Position négative","OK")</x:f>
        <x:v>OK</x:v>
      </x:c>
      <x:c r="M116" s="37" t="str">
        <x:f>IF(COUNTIFS('Marché'!$B$7:$B$106,"FR0000120073_2026-09-21")&lt;&gt;1,"Clé cours absente/dupliquée",IF(H116&lt;&gt;1,"Cours absent ou dupliqué",IF(NOT(ISNUMBER(F116)),"Cours invalide",IF(F116&lt;=0,"Cours invalide",IF(G116&lt;&gt;B116,"Cours périmé","OK")))))</x:f>
        <x:v>OK</x:v>
      </x:c>
      <x:c r="N116" s="30" t="n">
        <x:f>COUNTIFS('Dépositaire'!$O$7:$O$106,B116,'Dépositaire'!$P$7:$P$106,C116)</x:f>
        <x:v>1</x:v>
      </x:c>
      <x:c r="O116" s="30"/>
      <x:c r="P116" s="30"/>
      <x:c r="Q116" s="30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36" t="n">
        <x:v>46286</x:v>
      </x:c>
      <x:c r="C117" s="30" t="str">
        <x:v>FR0000121972</x:v>
      </x:c>
      <x:c r="D117" s="30" t="n">
        <x:f>SUMIFS($M$7:$M$76,$G$7:$G$76,C117,$D$7:$D$76,"&lt;="&amp;B117)</x:f>
        <x:v>450</x:v>
      </x:c>
      <x:c r="E117" s="30" t="n">
        <x:f>SUMIFS($M$7:$M$76,$G$7:$G$76,C117,$D$7:$D$76,"&lt;="&amp;B117,$F$7:$F$76,"&gt;0",$F$7:$F$76,"&lt;="&amp;B117)</x:f>
        <x:v>350</x:v>
      </x:c>
      <x:c r="F117" s="32" t="n">
        <x:f>IF(H117&lt;&gt;1,"n.d.",IF(COUNTIFS('Anomalies'!$C$19:$C$23,"FR0000121972_2026-09-21",'Anomalies'!$D$19:$D$23,"CoursEUR",'Anomalies'!$F$19:$F$23,"OUI")=1,SUMIFS('Anomalies'!$E$19:$E$23,'Anomalies'!$C$19:$C$23,"FR0000121972_2026-09-21",'Anomalies'!$D$19:$D$23,"CoursEUR",'Anomalies'!$F$19:$F$23,"OUI"),SUMIFS('Marché'!$E$7:$E$106,'Marché'!$C$7:$C$106,B117,'Marché'!$D$7:$D$106,C117)))</x:f>
        <x:v>208.3</x:v>
      </x:c>
      <x:c r="G117" s="36" t="n">
        <x:f>IF(H117&lt;&gt;1,"",IF(COUNTIFS('Anomalies'!$C$19:$C$23,"FR0000121972_2026-09-21",'Anomalies'!$D$19:$D$23,"CoursEUR",'Anomalies'!$F$19:$F$23,"OUI")=1,B117,SUMIFS('Marché'!$F$7:$F$106,'Marché'!$C$7:$C$106,B117,'Marché'!$D$7:$D$106,C117)))</x:f>
        <x:v>46286</x:v>
      </x:c>
      <x:c r="H117" s="30" t="n">
        <x:f>COUNTIFS('Marché'!$C$7:$C$106,B117,'Marché'!$D$7:$D$106,C117)</x:f>
        <x:v>1</x:v>
      </x:c>
      <x:c r="I117" s="32" t="n">
        <x:f>IF(M117="OK",D117*F117,"n.d.")</x:f>
        <x:v>93735</x:v>
      </x:c>
      <x:c r="J117" s="30" t="n">
        <x:f>IF(N117=1,SUMIFS('Dépositaire'!$Q$7:$Q$106,'Dépositaire'!$O$7:$O$106,B117,'Dépositaire'!$P$7:$P$106,C117),"n.d.")</x:f>
        <x:v>350</x:v>
      </x:c>
      <x:c r="K117" s="30" t="n">
        <x:f>IF(ISNUMBER(J117),E117-J117,"n.d.")</x:f>
        <x:v>0</x:v>
      </x:c>
      <x:c r="L117" s="37" t="str">
        <x:f>IF(OR(D117&lt;0,E117&lt;0),"Position négative","OK")</x:f>
        <x:v>OK</x:v>
      </x:c>
      <x:c r="M117" s="37" t="str">
        <x:f>IF(COUNTIFS('Marché'!$B$7:$B$106,"FR0000121972_2026-09-21")&lt;&gt;1,"Clé cours absente/dupliquée",IF(H117&lt;&gt;1,"Cours absent ou dupliqué",IF(NOT(ISNUMBER(F117)),"Cours invalide",IF(F117&lt;=0,"Cours invalide",IF(G117&lt;&gt;B117,"Cours périmé","OK")))))</x:f>
        <x:v>OK</x:v>
      </x:c>
      <x:c r="N117" s="30" t="n">
        <x:f>COUNTIFS('Dépositaire'!$O$7:$O$106,B117,'Dépositaire'!$P$7:$P$106,C117)</x:f>
        <x:v>1</x:v>
      </x:c>
      <x:c r="O117" s="30"/>
      <x:c r="P117" s="30"/>
      <x:c r="Q117" s="30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36" t="n">
        <x:v>46286</x:v>
      </x:c>
      <x:c r="C118" s="30" t="str">
        <x:v>FR0000120644</x:v>
      </x:c>
      <x:c r="D118" s="30" t="n">
        <x:f>SUMIFS($M$7:$M$76,$G$7:$G$76,C118,$D$7:$D$76,"&lt;="&amp;B118)</x:f>
        <x:v>1850</x:v>
      </x:c>
      <x:c r="E118" s="30" t="n">
        <x:f>SUMIFS($M$7:$M$76,$G$7:$G$76,C118,$D$7:$D$76,"&lt;="&amp;B118,$F$7:$F$76,"&gt;0",$F$7:$F$76,"&lt;="&amp;B118)</x:f>
        <x:v>1750</x:v>
      </x:c>
      <x:c r="F118" s="32" t="n">
        <x:f>IF(H118&lt;&gt;1,"n.d.",IF(COUNTIFS('Anomalies'!$C$19:$C$23,"FR0000120644_2026-09-21",'Anomalies'!$D$19:$D$23,"CoursEUR",'Anomalies'!$F$19:$F$23,"OUI")=1,SUMIFS('Anomalies'!$E$19:$E$23,'Anomalies'!$C$19:$C$23,"FR0000120644_2026-09-21",'Anomalies'!$D$19:$D$23,"CoursEUR",'Anomalies'!$F$19:$F$23,"OUI"),SUMIFS('Marché'!$E$7:$E$106,'Marché'!$C$7:$C$106,B118,'Marché'!$D$7:$D$106,C118)))</x:f>
        <x:v>60.25</x:v>
      </x:c>
      <x:c r="G118" s="36" t="n">
        <x:f>IF(H118&lt;&gt;1,"",IF(COUNTIFS('Anomalies'!$C$19:$C$23,"FR0000120644_2026-09-21",'Anomalies'!$D$19:$D$23,"CoursEUR",'Anomalies'!$F$19:$F$23,"OUI")=1,B118,SUMIFS('Marché'!$F$7:$F$106,'Marché'!$C$7:$C$106,B118,'Marché'!$D$7:$D$106,C118)))</x:f>
        <x:v>46286</x:v>
      </x:c>
      <x:c r="H118" s="30" t="n">
        <x:f>COUNTIFS('Marché'!$C$7:$C$106,B118,'Marché'!$D$7:$D$106,C118)</x:f>
        <x:v>1</x:v>
      </x:c>
      <x:c r="I118" s="32" t="n">
        <x:f>IF(M118="OK",D118*F118,"n.d.")</x:f>
        <x:v>111462.5</x:v>
      </x:c>
      <x:c r="J118" s="30" t="n">
        <x:f>IF(N118=1,SUMIFS('Dépositaire'!$Q$7:$Q$106,'Dépositaire'!$O$7:$O$106,B118,'Dépositaire'!$P$7:$P$106,C118),"n.d.")</x:f>
        <x:v>1750</x:v>
      </x:c>
      <x:c r="K118" s="30" t="n">
        <x:f>IF(ISNUMBER(J118),E118-J118,"n.d.")</x:f>
        <x:v>0</x:v>
      </x:c>
      <x:c r="L118" s="37" t="str">
        <x:f>IF(OR(D118&lt;0,E118&lt;0),"Position négative","OK")</x:f>
        <x:v>OK</x:v>
      </x:c>
      <x:c r="M118" s="37" t="str">
        <x:f>IF(COUNTIFS('Marché'!$B$7:$B$106,"FR0000120644_2026-09-21")&lt;&gt;1,"Clé cours absente/dupliquée",IF(H118&lt;&gt;1,"Cours absent ou dupliqué",IF(NOT(ISNUMBER(F118)),"Cours invalide",IF(F118&lt;=0,"Cours invalide",IF(G118&lt;&gt;B118,"Cours périmé","OK")))))</x:f>
        <x:v>OK</x:v>
      </x:c>
      <x:c r="N118" s="30" t="n">
        <x:f>COUNTIFS('Dépositaire'!$O$7:$O$106,B118,'Dépositaire'!$P$7:$P$106,C118)</x:f>
        <x:v>1</x:v>
      </x:c>
      <x:c r="O118" s="30"/>
      <x:c r="P118" s="30"/>
      <x:c r="Q118" s="30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36" t="n">
        <x:v>46286</x:v>
      </x:c>
      <x:c r="C119" s="30" t="str">
        <x:v>FR0000125486</x:v>
      </x:c>
      <x:c r="D119" s="30" t="n">
        <x:f>SUMIFS($M$7:$M$76,$G$7:$G$76,C119,$D$7:$D$76,"&lt;="&amp;B119)</x:f>
        <x:v>900</x:v>
      </x:c>
      <x:c r="E119" s="30" t="n">
        <x:f>SUMIFS($M$7:$M$76,$G$7:$G$76,C119,$D$7:$D$76,"&lt;="&amp;B119,$F$7:$F$76,"&gt;0",$F$7:$F$76,"&lt;="&amp;B119)</x:f>
        <x:v>1000</x:v>
      </x:c>
      <x:c r="F119" s="32" t="n">
        <x:f>IF(H119&lt;&gt;1,"n.d.",IF(COUNTIFS('Anomalies'!$C$19:$C$23,"FR0000125486_2026-09-21",'Anomalies'!$D$19:$D$23,"CoursEUR",'Anomalies'!$F$19:$F$23,"OUI")=1,SUMIFS('Anomalies'!$E$19:$E$23,'Anomalies'!$C$19:$C$23,"FR0000125486_2026-09-21",'Anomalies'!$D$19:$D$23,"CoursEUR",'Anomalies'!$F$19:$F$23,"OUI"),SUMIFS('Marché'!$E$7:$E$106,'Marché'!$C$7:$C$106,B119,'Marché'!$D$7:$D$106,C119)))</x:f>
        <x:v>116.45</x:v>
      </x:c>
      <x:c r="G119" s="36" t="n">
        <x:f>IF(H119&lt;&gt;1,"",IF(COUNTIFS('Anomalies'!$C$19:$C$23,"FR0000125486_2026-09-21",'Anomalies'!$D$19:$D$23,"CoursEUR",'Anomalies'!$F$19:$F$23,"OUI")=1,B119,SUMIFS('Marché'!$F$7:$F$106,'Marché'!$C$7:$C$106,B119,'Marché'!$D$7:$D$106,C119)))</x:f>
        <x:v>46286</x:v>
      </x:c>
      <x:c r="H119" s="30" t="n">
        <x:f>COUNTIFS('Marché'!$C$7:$C$106,B119,'Marché'!$D$7:$D$106,C119)</x:f>
        <x:v>1</x:v>
      </x:c>
      <x:c r="I119" s="32" t="n">
        <x:f>IF(M119="OK",D119*F119,"n.d.")</x:f>
        <x:v>104805</x:v>
      </x:c>
      <x:c r="J119" s="30" t="n">
        <x:f>IF(N119=1,SUMIFS('Dépositaire'!$Q$7:$Q$106,'Dépositaire'!$O$7:$O$106,B119,'Dépositaire'!$P$7:$P$106,C119),"n.d.")</x:f>
        <x:v>1000</x:v>
      </x:c>
      <x:c r="K119" s="30" t="n">
        <x:f>IF(ISNUMBER(J119),E119-J119,"n.d.")</x:f>
        <x:v>0</x:v>
      </x:c>
      <x:c r="L119" s="37" t="str">
        <x:f>IF(OR(D119&lt;0,E119&lt;0),"Position négative","OK")</x:f>
        <x:v>OK</x:v>
      </x:c>
      <x:c r="M119" s="37" t="str">
        <x:f>IF(COUNTIFS('Marché'!$B$7:$B$106,"FR0000125486_2026-09-21")&lt;&gt;1,"Clé cours absente/dupliquée",IF(H119&lt;&gt;1,"Cours absent ou dupliqué",IF(NOT(ISNUMBER(F119)),"Cours invalide",IF(F119&lt;=0,"Cours invalide",IF(G119&lt;&gt;B119,"Cours périmé","OK")))))</x:f>
        <x:v>OK</x:v>
      </x:c>
      <x:c r="N119" s="30" t="n">
        <x:f>COUNTIFS('Dépositaire'!$O$7:$O$106,B119,'Dépositaire'!$P$7:$P$106,C119)</x:f>
        <x:v>1</x:v>
      </x:c>
      <x:c r="O119" s="30"/>
      <x:c r="P119" s="30"/>
      <x:c r="Q119" s="30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36" t="n">
        <x:v>46286</x:v>
      </x:c>
      <x:c r="C120" s="30" t="str">
        <x:v>FR0000120321</x:v>
      </x:c>
      <x:c r="D120" s="30" t="n">
        <x:f>SUMIFS($M$7:$M$76,$G$7:$G$76,C120,$D$7:$D$76,"&lt;="&amp;B120)</x:f>
        <x:v>270</x:v>
      </x:c>
      <x:c r="E120" s="30" t="n">
        <x:f>SUMIFS($M$7:$M$76,$G$7:$G$76,C120,$D$7:$D$76,"&lt;="&amp;B120,$F$7:$F$76,"&gt;0",$F$7:$F$76,"&lt;="&amp;B120)</x:f>
        <x:v>300</x:v>
      </x:c>
      <x:c r="F120" s="32" t="n">
        <x:f>IF(H120&lt;&gt;1,"n.d.",IF(COUNTIFS('Anomalies'!$C$19:$C$23,"FR0000120321_2026-09-21",'Anomalies'!$D$19:$D$23,"CoursEUR",'Anomalies'!$F$19:$F$23,"OUI")=1,SUMIFS('Anomalies'!$E$19:$E$23,'Anomalies'!$C$19:$C$23,"FR0000120321_2026-09-21",'Anomalies'!$D$19:$D$23,"CoursEUR",'Anomalies'!$F$19:$F$23,"OUI"),SUMIFS('Marché'!$E$7:$E$106,'Marché'!$C$7:$C$106,B120,'Marché'!$D$7:$D$106,C120)))</x:f>
        <x:v>382.7</x:v>
      </x:c>
      <x:c r="G120" s="36" t="n">
        <x:f>IF(H120&lt;&gt;1,"",IF(COUNTIFS('Anomalies'!$C$19:$C$23,"FR0000120321_2026-09-21",'Anomalies'!$D$19:$D$23,"CoursEUR",'Anomalies'!$F$19:$F$23,"OUI")=1,B120,SUMIFS('Marché'!$F$7:$F$106,'Marché'!$C$7:$C$106,B120,'Marché'!$D$7:$D$106,C120)))</x:f>
        <x:v>46286</x:v>
      </x:c>
      <x:c r="H120" s="30" t="n">
        <x:f>COUNTIFS('Marché'!$C$7:$C$106,B120,'Marché'!$D$7:$D$106,C120)</x:f>
        <x:v>1</x:v>
      </x:c>
      <x:c r="I120" s="32" t="n">
        <x:f>IF(M120="OK",D120*F120,"n.d.")</x:f>
        <x:v>103329</x:v>
      </x:c>
      <x:c r="J120" s="30" t="n">
        <x:f>IF(N120=1,SUMIFS('Dépositaire'!$Q$7:$Q$106,'Dépositaire'!$O$7:$O$106,B120,'Dépositaire'!$P$7:$P$106,C120),"n.d.")</x:f>
        <x:v>300</x:v>
      </x:c>
      <x:c r="K120" s="30" t="n">
        <x:f>IF(ISNUMBER(J120),E120-J120,"n.d.")</x:f>
        <x:v>0</x:v>
      </x:c>
      <x:c r="L120" s="37" t="str">
        <x:f>IF(OR(D120&lt;0,E120&lt;0),"Position négative","OK")</x:f>
        <x:v>OK</x:v>
      </x:c>
      <x:c r="M120" s="37" t="str">
        <x:f>IF(COUNTIFS('Marché'!$B$7:$B$106,"FR0000120321_2026-09-21")&lt;&gt;1,"Clé cours absente/dupliquée",IF(H120&lt;&gt;1,"Cours absent ou dupliqué",IF(NOT(ISNUMBER(F120)),"Cours invalide",IF(F120&lt;=0,"Cours invalide",IF(G120&lt;&gt;B120,"Cours périmé","OK")))))</x:f>
        <x:v>OK</x:v>
      </x:c>
      <x:c r="N120" s="30" t="n">
        <x:f>COUNTIFS('Dépositaire'!$O$7:$O$106,B120,'Dépositaire'!$P$7:$P$106,C120)</x:f>
        <x:v>1</x:v>
      </x:c>
      <x:c r="O120" s="30"/>
      <x:c r="P120" s="30"/>
      <x:c r="Q120" s="30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36" t="n">
        <x:v>46287</x:v>
      </x:c>
      <x:c r="C121" s="30" t="str">
        <x:v>FR0000120073</x:v>
      </x:c>
      <x:c r="D121" s="30" t="n">
        <x:f>SUMIFS($M$7:$M$76,$G$7:$G$76,C121,$D$7:$D$76,"&lt;="&amp;B121)</x:f>
        <x:v>690</x:v>
      </x:c>
      <x:c r="E121" s="30" t="n">
        <x:f>SUMIFS($M$7:$M$76,$G$7:$G$76,C121,$D$7:$D$76,"&lt;="&amp;B121,$F$7:$F$76,"&gt;0",$F$7:$F$76,"&lt;="&amp;B121)</x:f>
        <x:v>620</x:v>
      </x:c>
      <x:c r="F121" s="32" t="n">
        <x:f>IF(H121&lt;&gt;1,"n.d.",IF(COUNTIFS('Anomalies'!$C$19:$C$23,"FR0000120073_2026-09-22",'Anomalies'!$D$19:$D$23,"CoursEUR",'Anomalies'!$F$19:$F$23,"OUI")=1,SUMIFS('Anomalies'!$E$19:$E$23,'Anomalies'!$C$19:$C$23,"FR0000120073_2026-09-22",'Anomalies'!$D$19:$D$23,"CoursEUR",'Anomalies'!$F$19:$F$23,"OUI"),SUMIFS('Marché'!$E$7:$E$106,'Marché'!$C$7:$C$106,B121,'Marché'!$D$7:$D$106,C121)))</x:f>
        <x:v>166.33</x:v>
      </x:c>
      <x:c r="G121" s="36" t="n">
        <x:f>IF(H121&lt;&gt;1,"",IF(COUNTIFS('Anomalies'!$C$19:$C$23,"FR0000120073_2026-09-22",'Anomalies'!$D$19:$D$23,"CoursEUR",'Anomalies'!$F$19:$F$23,"OUI")=1,B121,SUMIFS('Marché'!$F$7:$F$106,'Marché'!$C$7:$C$106,B121,'Marché'!$D$7:$D$106,C121)))</x:f>
        <x:v>46287</x:v>
      </x:c>
      <x:c r="H121" s="30" t="n">
        <x:f>COUNTIFS('Marché'!$C$7:$C$106,B121,'Marché'!$D$7:$D$106,C121)</x:f>
        <x:v>1</x:v>
      </x:c>
      <x:c r="I121" s="32" t="n">
        <x:f>IF(M121="OK",D121*F121,"n.d.")</x:f>
        <x:v>114767.70000000001</x:v>
      </x:c>
      <x:c r="J121" s="30" t="n">
        <x:f>IF(N121=1,SUMIFS('Dépositaire'!$Q$7:$Q$106,'Dépositaire'!$O$7:$O$106,B121,'Dépositaire'!$P$7:$P$106,C121),"n.d.")</x:f>
        <x:v>620</x:v>
      </x:c>
      <x:c r="K121" s="30" t="n">
        <x:f>IF(ISNUMBER(J121),E121-J121,"n.d.")</x:f>
        <x:v>0</x:v>
      </x:c>
      <x:c r="L121" s="37" t="str">
        <x:f>IF(OR(D121&lt;0,E121&lt;0),"Position négative","OK")</x:f>
        <x:v>OK</x:v>
      </x:c>
      <x:c r="M121" s="37" t="str">
        <x:f>IF(COUNTIFS('Marché'!$B$7:$B$106,"FR0000120073_2026-09-22")&lt;&gt;1,"Clé cours absente/dupliquée",IF(H121&lt;&gt;1,"Cours absent ou dupliqué",IF(NOT(ISNUMBER(F121)),"Cours invalide",IF(F121&lt;=0,"Cours invalide",IF(G121&lt;&gt;B121,"Cours périmé","OK")))))</x:f>
        <x:v>OK</x:v>
      </x:c>
      <x:c r="N121" s="30" t="n">
        <x:f>COUNTIFS('Dépositaire'!$O$7:$O$106,B121,'Dépositaire'!$P$7:$P$106,C121)</x:f>
        <x:v>1</x:v>
      </x:c>
      <x:c r="O121" s="30"/>
      <x:c r="P121" s="30"/>
      <x:c r="Q121" s="30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36" t="n">
        <x:v>46287</x:v>
      </x:c>
      <x:c r="C122" s="30" t="str">
        <x:v>FR0000121972</x:v>
      </x:c>
      <x:c r="D122" s="30" t="n">
        <x:f>SUMIFS($M$7:$M$76,$G$7:$G$76,C122,$D$7:$D$76,"&lt;="&amp;B122)</x:f>
        <x:v>450</x:v>
      </x:c>
      <x:c r="E122" s="30" t="n">
        <x:f>SUMIFS($M$7:$M$76,$G$7:$G$76,C122,$D$7:$D$76,"&lt;="&amp;B122,$F$7:$F$76,"&gt;0",$F$7:$F$76,"&lt;="&amp;B122)</x:f>
        <x:v>410</x:v>
      </x:c>
      <x:c r="F122" s="32" t="n">
        <x:f>IF(H122&lt;&gt;1,"n.d.",IF(COUNTIFS('Anomalies'!$C$19:$C$23,"FR0000121972_2026-09-22",'Anomalies'!$D$19:$D$23,"CoursEUR",'Anomalies'!$F$19:$F$23,"OUI")=1,SUMIFS('Anomalies'!$E$19:$E$23,'Anomalies'!$C$19:$C$23,"FR0000121972_2026-09-22",'Anomalies'!$D$19:$D$23,"CoursEUR",'Anomalies'!$F$19:$F$23,"OUI"),SUMIFS('Marché'!$E$7:$E$106,'Marché'!$C$7:$C$106,B122,'Marché'!$D$7:$D$106,C122)))</x:f>
        <x:v>208.31</x:v>
      </x:c>
      <x:c r="G122" s="36" t="n">
        <x:f>IF(H122&lt;&gt;1,"",IF(COUNTIFS('Anomalies'!$C$19:$C$23,"FR0000121972_2026-09-22",'Anomalies'!$D$19:$D$23,"CoursEUR",'Anomalies'!$F$19:$F$23,"OUI")=1,B122,SUMIFS('Marché'!$F$7:$F$106,'Marché'!$C$7:$C$106,B122,'Marché'!$D$7:$D$106,C122)))</x:f>
        <x:v>46287</x:v>
      </x:c>
      <x:c r="H122" s="30" t="n">
        <x:f>COUNTIFS('Marché'!$C$7:$C$106,B122,'Marché'!$D$7:$D$106,C122)</x:f>
        <x:v>1</x:v>
      </x:c>
      <x:c r="I122" s="32" t="n">
        <x:f>IF(M122="OK",D122*F122,"n.d.")</x:f>
        <x:v>93739.5</x:v>
      </x:c>
      <x:c r="J122" s="30" t="n">
        <x:f>IF(N122=1,SUMIFS('Dépositaire'!$Q$7:$Q$106,'Dépositaire'!$O$7:$O$106,B122,'Dépositaire'!$P$7:$P$106,C122),"n.d.")</x:f>
        <x:v>410</x:v>
      </x:c>
      <x:c r="K122" s="30" t="n">
        <x:f>IF(ISNUMBER(J122),E122-J122,"n.d.")</x:f>
        <x:v>0</x:v>
      </x:c>
      <x:c r="L122" s="37" t="str">
        <x:f>IF(OR(D122&lt;0,E122&lt;0),"Position négative","OK")</x:f>
        <x:v>OK</x:v>
      </x:c>
      <x:c r="M122" s="37" t="str">
        <x:f>IF(COUNTIFS('Marché'!$B$7:$B$106,"FR0000121972_2026-09-22")&lt;&gt;1,"Clé cours absente/dupliquée",IF(H122&lt;&gt;1,"Cours absent ou dupliqué",IF(NOT(ISNUMBER(F122)),"Cours invalide",IF(F122&lt;=0,"Cours invalide",IF(G122&lt;&gt;B122,"Cours périmé","OK")))))</x:f>
        <x:v>OK</x:v>
      </x:c>
      <x:c r="N122" s="30" t="n">
        <x:f>COUNTIFS('Dépositaire'!$O$7:$O$106,B122,'Dépositaire'!$P$7:$P$106,C122)</x:f>
        <x:v>1</x:v>
      </x:c>
      <x:c r="O122" s="30"/>
      <x:c r="P122" s="30"/>
      <x:c r="Q122" s="30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36" t="n">
        <x:v>46287</x:v>
      </x:c>
      <x:c r="C123" s="30" t="str">
        <x:v>FR0000120644</x:v>
      </x:c>
      <x:c r="D123" s="30" t="n">
        <x:f>SUMIFS($M$7:$M$76,$G$7:$G$76,C123,$D$7:$D$76,"&lt;="&amp;B123)</x:f>
        <x:v>1850</x:v>
      </x:c>
      <x:c r="E123" s="30" t="n">
        <x:f>SUMIFS($M$7:$M$76,$G$7:$G$76,C123,$D$7:$D$76,"&lt;="&amp;B123,$F$7:$F$76,"&gt;0",$F$7:$F$76,"&lt;="&amp;B123)</x:f>
        <x:v>1750</x:v>
      </x:c>
      <x:c r="F123" s="32" t="n">
        <x:f>IF(H123&lt;&gt;1,"n.d.",IF(COUNTIFS('Anomalies'!$C$19:$C$23,"FR0000120644_2026-09-22",'Anomalies'!$D$19:$D$23,"CoursEUR",'Anomalies'!$F$19:$F$23,"OUI")=1,SUMIFS('Anomalies'!$E$19:$E$23,'Anomalies'!$C$19:$C$23,"FR0000120644_2026-09-22",'Anomalies'!$D$19:$D$23,"CoursEUR",'Anomalies'!$F$19:$F$23,"OUI"),SUMIFS('Marché'!$E$7:$E$106,'Marché'!$C$7:$C$106,B123,'Marché'!$D$7:$D$106,C123)))</x:f>
        <x:v>60.72</x:v>
      </x:c>
      <x:c r="G123" s="36" t="n">
        <x:f>IF(H123&lt;&gt;1,"",IF(COUNTIFS('Anomalies'!$C$19:$C$23,"FR0000120644_2026-09-22",'Anomalies'!$D$19:$D$23,"CoursEUR",'Anomalies'!$F$19:$F$23,"OUI")=1,B123,SUMIFS('Marché'!$F$7:$F$106,'Marché'!$C$7:$C$106,B123,'Marché'!$D$7:$D$106,C123)))</x:f>
        <x:v>46287</x:v>
      </x:c>
      <x:c r="H123" s="30" t="n">
        <x:f>COUNTIFS('Marché'!$C$7:$C$106,B123,'Marché'!$D$7:$D$106,C123)</x:f>
        <x:v>1</x:v>
      </x:c>
      <x:c r="I123" s="32" t="n">
        <x:f>IF(M123="OK",D123*F123,"n.d.")</x:f>
        <x:v>112332</x:v>
      </x:c>
      <x:c r="J123" s="30" t="n">
        <x:f>IF(N123=1,SUMIFS('Dépositaire'!$Q$7:$Q$106,'Dépositaire'!$O$7:$O$106,B123,'Dépositaire'!$P$7:$P$106,C123),"n.d.")</x:f>
        <x:v>1750</x:v>
      </x:c>
      <x:c r="K123" s="30" t="n">
        <x:f>IF(ISNUMBER(J123),E123-J123,"n.d.")</x:f>
        <x:v>0</x:v>
      </x:c>
      <x:c r="L123" s="37" t="str">
        <x:f>IF(OR(D123&lt;0,E123&lt;0),"Position négative","OK")</x:f>
        <x:v>OK</x:v>
      </x:c>
      <x:c r="M123" s="37" t="str">
        <x:f>IF(COUNTIFS('Marché'!$B$7:$B$106,"FR0000120644_2026-09-22")&lt;&gt;1,"Clé cours absente/dupliquée",IF(H123&lt;&gt;1,"Cours absent ou dupliqué",IF(NOT(ISNUMBER(F123)),"Cours invalide",IF(F123&lt;=0,"Cours invalide",IF(G123&lt;&gt;B123,"Cours périmé","OK")))))</x:f>
        <x:v>OK</x:v>
      </x:c>
      <x:c r="N123" s="30" t="n">
        <x:f>COUNTIFS('Dépositaire'!$O$7:$O$106,B123,'Dépositaire'!$P$7:$P$106,C123)</x:f>
        <x:v>1</x:v>
      </x:c>
      <x:c r="O123" s="30"/>
      <x:c r="P123" s="30"/>
      <x:c r="Q123" s="30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36" t="n">
        <x:v>46287</x:v>
      </x:c>
      <x:c r="C124" s="30" t="str">
        <x:v>FR0000125486</x:v>
      </x:c>
      <x:c r="D124" s="30" t="n">
        <x:f>SUMIFS($M$7:$M$76,$G$7:$G$76,C124,$D$7:$D$76,"&lt;="&amp;B124)</x:f>
        <x:v>850</x:v>
      </x:c>
      <x:c r="E124" s="30" t="n">
        <x:f>SUMIFS($M$7:$M$76,$G$7:$G$76,C124,$D$7:$D$76,"&lt;="&amp;B124,$F$7:$F$76,"&gt;0",$F$7:$F$76,"&lt;="&amp;B124)</x:f>
        <x:v>900</x:v>
      </x:c>
      <x:c r="F124" s="32" t="n">
        <x:f>IF(H124&lt;&gt;1,"n.d.",IF(COUNTIFS('Anomalies'!$C$19:$C$23,"FR0000125486_2026-09-22",'Anomalies'!$D$19:$D$23,"CoursEUR",'Anomalies'!$F$19:$F$23,"OUI")=1,SUMIFS('Anomalies'!$E$19:$E$23,'Anomalies'!$C$19:$C$23,"FR0000125486_2026-09-22",'Anomalies'!$D$19:$D$23,"CoursEUR",'Anomalies'!$F$19:$F$23,"OUI"),SUMIFS('Marché'!$E$7:$E$106,'Marché'!$C$7:$C$106,B124,'Marché'!$D$7:$D$106,C124)))</x:f>
        <x:v>115.97</x:v>
      </x:c>
      <x:c r="G124" s="36" t="n">
        <x:f>IF(H124&lt;&gt;1,"",IF(COUNTIFS('Anomalies'!$C$19:$C$23,"FR0000125486_2026-09-22",'Anomalies'!$D$19:$D$23,"CoursEUR",'Anomalies'!$F$19:$F$23,"OUI")=1,B124,SUMIFS('Marché'!$F$7:$F$106,'Marché'!$C$7:$C$106,B124,'Marché'!$D$7:$D$106,C124)))</x:f>
        <x:v>46287</x:v>
      </x:c>
      <x:c r="H124" s="30" t="n">
        <x:f>COUNTIFS('Marché'!$C$7:$C$106,B124,'Marché'!$D$7:$D$106,C124)</x:f>
        <x:v>1</x:v>
      </x:c>
      <x:c r="I124" s="32" t="n">
        <x:f>IF(M124="OK",D124*F124,"n.d.")</x:f>
        <x:v>98574.5</x:v>
      </x:c>
      <x:c r="J124" s="30" t="n">
        <x:f>IF(N124=1,SUMIFS('Dépositaire'!$Q$7:$Q$106,'Dépositaire'!$O$7:$O$106,B124,'Dépositaire'!$P$7:$P$106,C124),"n.d.")</x:f>
        <x:v>900</x:v>
      </x:c>
      <x:c r="K124" s="30" t="n">
        <x:f>IF(ISNUMBER(J124),E124-J124,"n.d.")</x:f>
        <x:v>0</x:v>
      </x:c>
      <x:c r="L124" s="37" t="str">
        <x:f>IF(OR(D124&lt;0,E124&lt;0),"Position négative","OK")</x:f>
        <x:v>OK</x:v>
      </x:c>
      <x:c r="M124" s="37" t="str">
        <x:f>IF(COUNTIFS('Marché'!$B$7:$B$106,"FR0000125486_2026-09-22")&lt;&gt;1,"Clé cours absente/dupliquée",IF(H124&lt;&gt;1,"Cours absent ou dupliqué",IF(NOT(ISNUMBER(F124)),"Cours invalide",IF(F124&lt;=0,"Cours invalide",IF(G124&lt;&gt;B124,"Cours périmé","OK")))))</x:f>
        <x:v>OK</x:v>
      </x:c>
      <x:c r="N124" s="30" t="n">
        <x:f>COUNTIFS('Dépositaire'!$O$7:$O$106,B124,'Dépositaire'!$P$7:$P$106,C124)</x:f>
        <x:v>1</x:v>
      </x:c>
      <x:c r="O124" s="30"/>
      <x:c r="P124" s="30"/>
      <x:c r="Q124" s="30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36" t="n">
        <x:v>46287</x:v>
      </x:c>
      <x:c r="C125" s="30" t="str">
        <x:v>FR0000120321</x:v>
      </x:c>
      <x:c r="D125" s="30" t="n">
        <x:f>SUMIFS($M$7:$M$76,$G$7:$G$76,C125,$D$7:$D$76,"&lt;="&amp;B125)</x:f>
        <x:v>290</x:v>
      </x:c>
      <x:c r="E125" s="30" t="n">
        <x:f>SUMIFS($M$7:$M$76,$G$7:$G$76,C125,$D$7:$D$76,"&lt;="&amp;B125,$F$7:$F$76,"&gt;0",$F$7:$F$76,"&lt;="&amp;B125)</x:f>
        <x:v>270</x:v>
      </x:c>
      <x:c r="F125" s="32" t="n">
        <x:f>IF(H125&lt;&gt;1,"n.d.",IF(COUNTIFS('Anomalies'!$C$19:$C$23,"FR0000120321_2026-09-22",'Anomalies'!$D$19:$D$23,"CoursEUR",'Anomalies'!$F$19:$F$23,"OUI")=1,SUMIFS('Anomalies'!$E$19:$E$23,'Anomalies'!$C$19:$C$23,"FR0000120321_2026-09-22",'Anomalies'!$D$19:$D$23,"CoursEUR",'Anomalies'!$F$19:$F$23,"OUI"),SUMIFS('Marché'!$E$7:$E$106,'Marché'!$C$7:$C$106,B125,'Marché'!$D$7:$D$106,C125)))</x:f>
        <x:v>382.59</x:v>
      </x:c>
      <x:c r="G125" s="36" t="n">
        <x:f>IF(H125&lt;&gt;1,"",IF(COUNTIFS('Anomalies'!$C$19:$C$23,"FR0000120321_2026-09-22",'Anomalies'!$D$19:$D$23,"CoursEUR",'Anomalies'!$F$19:$F$23,"OUI")=1,B125,SUMIFS('Marché'!$F$7:$F$106,'Marché'!$C$7:$C$106,B125,'Marché'!$D$7:$D$106,C125)))</x:f>
        <x:v>46287</x:v>
      </x:c>
      <x:c r="H125" s="30" t="n">
        <x:f>COUNTIFS('Marché'!$C$7:$C$106,B125,'Marché'!$D$7:$D$106,C125)</x:f>
        <x:v>1</x:v>
      </x:c>
      <x:c r="I125" s="32" t="n">
        <x:f>IF(M125="OK",D125*F125,"n.d.")</x:f>
        <x:v>110951.09999999999</x:v>
      </x:c>
      <x:c r="J125" s="30" t="n">
        <x:f>IF(N125=1,SUMIFS('Dépositaire'!$Q$7:$Q$106,'Dépositaire'!$O$7:$O$106,B125,'Dépositaire'!$P$7:$P$106,C125),"n.d.")</x:f>
        <x:v>270</x:v>
      </x:c>
      <x:c r="K125" s="30" t="n">
        <x:f>IF(ISNUMBER(J125),E125-J125,"n.d.")</x:f>
        <x:v>0</x:v>
      </x:c>
      <x:c r="L125" s="37" t="str">
        <x:f>IF(OR(D125&lt;0,E125&lt;0),"Position négative","OK")</x:f>
        <x:v>OK</x:v>
      </x:c>
      <x:c r="M125" s="37" t="str">
        <x:f>IF(COUNTIFS('Marché'!$B$7:$B$106,"FR0000120321_2026-09-22")&lt;&gt;1,"Clé cours absente/dupliquée",IF(H125&lt;&gt;1,"Cours absent ou dupliqué",IF(NOT(ISNUMBER(F125)),"Cours invalide",IF(F125&lt;=0,"Cours invalide",IF(G125&lt;&gt;B125,"Cours périmé","OK")))))</x:f>
        <x:v>OK</x:v>
      </x:c>
      <x:c r="N125" s="30" t="n">
        <x:f>COUNTIFS('Dépositaire'!$O$7:$O$106,B125,'Dépositaire'!$P$7:$P$106,C125)</x:f>
        <x:v>1</x:v>
      </x:c>
      <x:c r="O125" s="30"/>
      <x:c r="P125" s="30"/>
      <x:c r="Q125" s="30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36" t="n">
        <x:v>46288</x:v>
      </x:c>
      <x:c r="C126" s="30" t="str">
        <x:v>FR0000120073</x:v>
      </x:c>
      <x:c r="D126" s="30" t="n">
        <x:f>SUMIFS($M$7:$M$76,$G$7:$G$76,C126,$D$7:$D$76,"&lt;="&amp;B126)</x:f>
        <x:v>720</x:v>
      </x:c>
      <x:c r="E126" s="30" t="n">
        <x:f>SUMIFS($M$7:$M$76,$G$7:$G$76,C126,$D$7:$D$76,"&lt;="&amp;B126,$F$7:$F$76,"&gt;0",$F$7:$F$76,"&lt;="&amp;B126)</x:f>
        <x:v>690</x:v>
      </x:c>
      <x:c r="F126" s="32" t="n">
        <x:f>IF(H126&lt;&gt;1,"n.d.",IF(COUNTIFS('Anomalies'!$C$19:$C$23,"FR0000120073_2026-09-23",'Anomalies'!$D$19:$D$23,"CoursEUR",'Anomalies'!$F$19:$F$23,"OUI")=1,SUMIFS('Anomalies'!$E$19:$E$23,'Anomalies'!$C$19:$C$23,"FR0000120073_2026-09-23",'Anomalies'!$D$19:$D$23,"CoursEUR",'Anomalies'!$F$19:$F$23,"OUI"),SUMIFS('Marché'!$E$7:$E$106,'Marché'!$C$7:$C$106,B126,'Marché'!$D$7:$D$106,C126)))</x:f>
        <x:v>166.96</x:v>
      </x:c>
      <x:c r="G126" s="36" t="n">
        <x:f>IF(H126&lt;&gt;1,"",IF(COUNTIFS('Anomalies'!$C$19:$C$23,"FR0000120073_2026-09-23",'Anomalies'!$D$19:$D$23,"CoursEUR",'Anomalies'!$F$19:$F$23,"OUI")=1,B126,SUMIFS('Marché'!$F$7:$F$106,'Marché'!$C$7:$C$106,B126,'Marché'!$D$7:$D$106,C126)))</x:f>
        <x:v>46288</x:v>
      </x:c>
      <x:c r="H126" s="30" t="n">
        <x:f>COUNTIFS('Marché'!$C$7:$C$106,B126,'Marché'!$D$7:$D$106,C126)</x:f>
        <x:v>1</x:v>
      </x:c>
      <x:c r="I126" s="32" t="n">
        <x:f>IF(M126="OK",D126*F126,"n.d.")</x:f>
        <x:v>120211.20000000001</x:v>
      </x:c>
      <x:c r="J126" s="30" t="n">
        <x:f>IF(N126=1,SUMIFS('Dépositaire'!$Q$7:$Q$106,'Dépositaire'!$O$7:$O$106,B126,'Dépositaire'!$P$7:$P$106,C126),"n.d.")</x:f>
        <x:v>690</x:v>
      </x:c>
      <x:c r="K126" s="30" t="n">
        <x:f>IF(ISNUMBER(J126),E126-J126,"n.d.")</x:f>
        <x:v>0</x:v>
      </x:c>
      <x:c r="L126" s="37" t="str">
        <x:f>IF(OR(D126&lt;0,E126&lt;0),"Position négative","OK")</x:f>
        <x:v>OK</x:v>
      </x:c>
      <x:c r="M126" s="37" t="str">
        <x:f>IF(COUNTIFS('Marché'!$B$7:$B$106,"FR0000120073_2026-09-23")&lt;&gt;1,"Clé cours absente/dupliquée",IF(H126&lt;&gt;1,"Cours absent ou dupliqué",IF(NOT(ISNUMBER(F126)),"Cours invalide",IF(F126&lt;=0,"Cours invalide",IF(G126&lt;&gt;B126,"Cours périmé","OK")))))</x:f>
        <x:v>OK</x:v>
      </x:c>
      <x:c r="N126" s="30" t="n">
        <x:f>COUNTIFS('Dépositaire'!$O$7:$O$106,B126,'Dépositaire'!$P$7:$P$106,C126)</x:f>
        <x:v>1</x:v>
      </x:c>
      <x:c r="O126" s="30"/>
      <x:c r="P126" s="30"/>
      <x:c r="Q126" s="30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36" t="n">
        <x:v>46288</x:v>
      </x:c>
      <x:c r="C127" s="30" t="str">
        <x:v>FR0000121972</x:v>
      </x:c>
      <x:c r="D127" s="30" t="n">
        <x:f>SUMIFS($M$7:$M$76,$G$7:$G$76,C127,$D$7:$D$76,"&lt;="&amp;B127)</x:f>
        <x:v>450</x:v>
      </x:c>
      <x:c r="E127" s="30" t="n">
        <x:f>SUMIFS($M$7:$M$76,$G$7:$G$76,C127,$D$7:$D$76,"&lt;="&amp;B127,$F$7:$F$76,"&gt;0",$F$7:$F$76,"&lt;="&amp;B127)</x:f>
        <x:v>410</x:v>
      </x:c>
      <x:c r="F127" s="32" t="n">
        <x:f>IF(H127&lt;&gt;1,"n.d.",IF(COUNTIFS('Anomalies'!$C$19:$C$23,"FR0000121972_2026-09-23",'Anomalies'!$D$19:$D$23,"CoursEUR",'Anomalies'!$F$19:$F$23,"OUI")=1,SUMIFS('Anomalies'!$E$19:$E$23,'Anomalies'!$C$19:$C$23,"FR0000121972_2026-09-23",'Anomalies'!$D$19:$D$23,"CoursEUR",'Anomalies'!$F$19:$F$23,"OUI"),SUMIFS('Marché'!$E$7:$E$106,'Marché'!$C$7:$C$106,B127,'Marché'!$D$7:$D$106,C127)))</x:f>
        <x:v>207.27</x:v>
      </x:c>
      <x:c r="G127" s="36" t="n">
        <x:f>IF(H127&lt;&gt;1,"",IF(COUNTIFS('Anomalies'!$C$19:$C$23,"FR0000121972_2026-09-23",'Anomalies'!$D$19:$D$23,"CoursEUR",'Anomalies'!$F$19:$F$23,"OUI")=1,B127,SUMIFS('Marché'!$F$7:$F$106,'Marché'!$C$7:$C$106,B127,'Marché'!$D$7:$D$106,C127)))</x:f>
        <x:v>46288</x:v>
      </x:c>
      <x:c r="H127" s="30" t="n">
        <x:f>COUNTIFS('Marché'!$C$7:$C$106,B127,'Marché'!$D$7:$D$106,C127)</x:f>
        <x:v>1</x:v>
      </x:c>
      <x:c r="I127" s="32" t="n">
        <x:f>IF(M127="OK",D127*F127,"n.d.")</x:f>
        <x:v>93271.5</x:v>
      </x:c>
      <x:c r="J127" s="30" t="n">
        <x:f>IF(N127=1,SUMIFS('Dépositaire'!$Q$7:$Q$106,'Dépositaire'!$O$7:$O$106,B127,'Dépositaire'!$P$7:$P$106,C127),"n.d.")</x:f>
        <x:v>410</x:v>
      </x:c>
      <x:c r="K127" s="30" t="n">
        <x:f>IF(ISNUMBER(J127),E127-J127,"n.d.")</x:f>
        <x:v>0</x:v>
      </x:c>
      <x:c r="L127" s="37" t="str">
        <x:f>IF(OR(D127&lt;0,E127&lt;0),"Position négative","OK")</x:f>
        <x:v>OK</x:v>
      </x:c>
      <x:c r="M127" s="37" t="str">
        <x:f>IF(COUNTIFS('Marché'!$B$7:$B$106,"FR0000121972_2026-09-23")&lt;&gt;1,"Clé cours absente/dupliquée",IF(H127&lt;&gt;1,"Cours absent ou dupliqué",IF(NOT(ISNUMBER(F127)),"Cours invalide",IF(F127&lt;=0,"Cours invalide",IF(G127&lt;&gt;B127,"Cours périmé","OK")))))</x:f>
        <x:v>OK</x:v>
      </x:c>
      <x:c r="N127" s="30" t="n">
        <x:f>COUNTIFS('Dépositaire'!$O$7:$O$106,B127,'Dépositaire'!$P$7:$P$106,C127)</x:f>
        <x:v>1</x:v>
      </x:c>
      <x:c r="O127" s="30"/>
      <x:c r="P127" s="30"/>
      <x:c r="Q127" s="30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36" t="n">
        <x:v>46288</x:v>
      </x:c>
      <x:c r="C128" s="30" t="str">
        <x:v>FR0000120644</x:v>
      </x:c>
      <x:c r="D128" s="30" t="n">
        <x:f>SUMIFS($M$7:$M$76,$G$7:$G$76,C128,$D$7:$D$76,"&lt;="&amp;B128)</x:f>
        <x:v>1775</x:v>
      </x:c>
      <x:c r="E128" s="30" t="n">
        <x:f>SUMIFS($M$7:$M$76,$G$7:$G$76,C128,$D$7:$D$76,"&lt;="&amp;B128,$F$7:$F$76,"&gt;0",$F$7:$F$76,"&lt;="&amp;B128)</x:f>
        <x:v>1850</x:v>
      </x:c>
      <x:c r="F128" s="32" t="n">
        <x:f>IF(H128&lt;&gt;1,"n.d.",IF(COUNTIFS('Anomalies'!$C$19:$C$23,"FR0000120644_2026-09-23",'Anomalies'!$D$19:$D$23,"CoursEUR",'Anomalies'!$F$19:$F$23,"OUI")=1,SUMIFS('Anomalies'!$E$19:$E$23,'Anomalies'!$C$19:$C$23,"FR0000120644_2026-09-23",'Anomalies'!$D$19:$D$23,"CoursEUR",'Anomalies'!$F$19:$F$23,"OUI"),SUMIFS('Marché'!$E$7:$E$106,'Marché'!$C$7:$C$106,B128,'Marché'!$D$7:$D$106,C128)))</x:f>
        <x:v>61.19</x:v>
      </x:c>
      <x:c r="G128" s="36" t="n">
        <x:f>IF(H128&lt;&gt;1,"",IF(COUNTIFS('Anomalies'!$C$19:$C$23,"FR0000120644_2026-09-23",'Anomalies'!$D$19:$D$23,"CoursEUR",'Anomalies'!$F$19:$F$23,"OUI")=1,B128,SUMIFS('Marché'!$F$7:$F$106,'Marché'!$C$7:$C$106,B128,'Marché'!$D$7:$D$106,C128)))</x:f>
        <x:v>46288</x:v>
      </x:c>
      <x:c r="H128" s="30" t="n">
        <x:f>COUNTIFS('Marché'!$C$7:$C$106,B128,'Marché'!$D$7:$D$106,C128)</x:f>
        <x:v>1</x:v>
      </x:c>
      <x:c r="I128" s="32" t="n">
        <x:f>IF(M128="OK",D128*F128,"n.d.")</x:f>
        <x:v>108612.25</x:v>
      </x:c>
      <x:c r="J128" s="30" t="n">
        <x:f>IF(N128=1,SUMIFS('Dépositaire'!$Q$7:$Q$106,'Dépositaire'!$O$7:$O$106,B128,'Dépositaire'!$P$7:$P$106,C128),"n.d.")</x:f>
        <x:v>1850</x:v>
      </x:c>
      <x:c r="K128" s="30" t="n">
        <x:f>IF(ISNUMBER(J128),E128-J128,"n.d.")</x:f>
        <x:v>0</x:v>
      </x:c>
      <x:c r="L128" s="37" t="str">
        <x:f>IF(OR(D128&lt;0,E128&lt;0),"Position négative","OK")</x:f>
        <x:v>OK</x:v>
      </x:c>
      <x:c r="M128" s="37" t="str">
        <x:f>IF(COUNTIFS('Marché'!$B$7:$B$106,"FR0000120644_2026-09-23")&lt;&gt;1,"Clé cours absente/dupliquée",IF(H128&lt;&gt;1,"Cours absent ou dupliqué",IF(NOT(ISNUMBER(F128)),"Cours invalide",IF(F128&lt;=0,"Cours invalide",IF(G128&lt;&gt;B128,"Cours périmé","OK")))))</x:f>
        <x:v>OK</x:v>
      </x:c>
      <x:c r="N128" s="30" t="n">
        <x:f>COUNTIFS('Dépositaire'!$O$7:$O$106,B128,'Dépositaire'!$P$7:$P$106,C128)</x:f>
        <x:v>1</x:v>
      </x:c>
      <x:c r="O128" s="30"/>
      <x:c r="P128" s="30"/>
      <x:c r="Q128" s="30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36" t="n">
        <x:v>46288</x:v>
      </x:c>
      <x:c r="C129" s="30" t="str">
        <x:v>FR0000125486</x:v>
      </x:c>
      <x:c r="D129" s="30" t="n">
        <x:f>SUMIFS($M$7:$M$76,$G$7:$G$76,C129,$D$7:$D$76,"&lt;="&amp;B129)</x:f>
        <x:v>850</x:v>
      </x:c>
      <x:c r="E129" s="30" t="n">
        <x:f>SUMIFS($M$7:$M$76,$G$7:$G$76,C129,$D$7:$D$76,"&lt;="&amp;B129,$F$7:$F$76,"&gt;0",$F$7:$F$76,"&lt;="&amp;B129)</x:f>
        <x:v>900</x:v>
      </x:c>
      <x:c r="F129" s="32" t="n">
        <x:f>IF(H129&lt;&gt;1,"n.d.",IF(COUNTIFS('Anomalies'!$C$19:$C$23,"FR0000125486_2026-09-23",'Anomalies'!$D$19:$D$23,"CoursEUR",'Anomalies'!$F$19:$F$23,"OUI")=1,SUMIFS('Anomalies'!$E$19:$E$23,'Anomalies'!$C$19:$C$23,"FR0000125486_2026-09-23",'Anomalies'!$D$19:$D$23,"CoursEUR",'Anomalies'!$F$19:$F$23,"OUI"),SUMIFS('Marché'!$E$7:$E$106,'Marché'!$C$7:$C$106,B129,'Marché'!$D$7:$D$106,C129)))</x:f>
        <x:v>116.54</x:v>
      </x:c>
      <x:c r="G129" s="36" t="n">
        <x:f>IF(H129&lt;&gt;1,"",IF(COUNTIFS('Anomalies'!$C$19:$C$23,"FR0000125486_2026-09-23",'Anomalies'!$D$19:$D$23,"CoursEUR",'Anomalies'!$F$19:$F$23,"OUI")=1,B129,SUMIFS('Marché'!$F$7:$F$106,'Marché'!$C$7:$C$106,B129,'Marché'!$D$7:$D$106,C129)))</x:f>
        <x:v>46288</x:v>
      </x:c>
      <x:c r="H129" s="30" t="n">
        <x:f>COUNTIFS('Marché'!$C$7:$C$106,B129,'Marché'!$D$7:$D$106,C129)</x:f>
        <x:v>1</x:v>
      </x:c>
      <x:c r="I129" s="32" t="n">
        <x:f>IF(M129="OK",D129*F129,"n.d.")</x:f>
        <x:v>99059</x:v>
      </x:c>
      <x:c r="J129" s="30" t="n">
        <x:f>IF(N129=1,SUMIFS('Dépositaire'!$Q$7:$Q$106,'Dépositaire'!$O$7:$O$106,B129,'Dépositaire'!$P$7:$P$106,C129),"n.d.")</x:f>
        <x:v>900</x:v>
      </x:c>
      <x:c r="K129" s="30" t="n">
        <x:f>IF(ISNUMBER(J129),E129-J129,"n.d.")</x:f>
        <x:v>0</x:v>
      </x:c>
      <x:c r="L129" s="37" t="str">
        <x:f>IF(OR(D129&lt;0,E129&lt;0),"Position négative","OK")</x:f>
        <x:v>OK</x:v>
      </x:c>
      <x:c r="M129" s="37" t="str">
        <x:f>IF(COUNTIFS('Marché'!$B$7:$B$106,"FR0000125486_2026-09-23")&lt;&gt;1,"Clé cours absente/dupliquée",IF(H129&lt;&gt;1,"Cours absent ou dupliqué",IF(NOT(ISNUMBER(F129)),"Cours invalide",IF(F129&lt;=0,"Cours invalide",IF(G129&lt;&gt;B129,"Cours périmé","OK")))))</x:f>
        <x:v>OK</x:v>
      </x:c>
      <x:c r="N129" s="30" t="n">
        <x:f>COUNTIFS('Dépositaire'!$O$7:$O$106,B129,'Dépositaire'!$P$7:$P$106,C129)</x:f>
        <x:v>1</x:v>
      </x:c>
      <x:c r="O129" s="30"/>
      <x:c r="P129" s="30"/>
      <x:c r="Q129" s="30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36" t="n">
        <x:v>46288</x:v>
      </x:c>
      <x:c r="C130" s="30" t="str">
        <x:v>FR0000120321</x:v>
      </x:c>
      <x:c r="D130" s="30" t="n">
        <x:f>SUMIFS($M$7:$M$76,$G$7:$G$76,C130,$D$7:$D$76,"&lt;="&amp;B130)</x:f>
        <x:v>290</x:v>
      </x:c>
      <x:c r="E130" s="30" t="n">
        <x:f>SUMIFS($M$7:$M$76,$G$7:$G$76,C130,$D$7:$D$76,"&lt;="&amp;B130,$F$7:$F$76,"&gt;0",$F$7:$F$76,"&lt;="&amp;B130)</x:f>
        <x:v>270</x:v>
      </x:c>
      <x:c r="F130" s="32" t="n">
        <x:f>IF(H130&lt;&gt;1,"n.d.",IF(COUNTIFS('Anomalies'!$C$19:$C$23,"FR0000120321_2026-09-23",'Anomalies'!$D$19:$D$23,"CoursEUR",'Anomalies'!$F$19:$F$23,"OUI")=1,SUMIFS('Anomalies'!$E$19:$E$23,'Anomalies'!$C$19:$C$23,"FR0000120321_2026-09-23",'Anomalies'!$D$19:$D$23,"CoursEUR",'Anomalies'!$F$19:$F$23,"OUI"),SUMIFS('Marché'!$E$7:$E$106,'Marché'!$C$7:$C$106,B130,'Marché'!$D$7:$D$106,C130)))</x:f>
        <x:v>381.43</x:v>
      </x:c>
      <x:c r="G130" s="36" t="n">
        <x:f>IF(H130&lt;&gt;1,"",IF(COUNTIFS('Anomalies'!$C$19:$C$23,"FR0000120321_2026-09-23",'Anomalies'!$D$19:$D$23,"CoursEUR",'Anomalies'!$F$19:$F$23,"OUI")=1,B130,SUMIFS('Marché'!$F$7:$F$106,'Marché'!$C$7:$C$106,B130,'Marché'!$D$7:$D$106,C130)))</x:f>
        <x:v>46288</x:v>
      </x:c>
      <x:c r="H130" s="30" t="n">
        <x:f>COUNTIFS('Marché'!$C$7:$C$106,B130,'Marché'!$D$7:$D$106,C130)</x:f>
        <x:v>1</x:v>
      </x:c>
      <x:c r="I130" s="32" t="n">
        <x:f>IF(M130="OK",D130*F130,"n.d.")</x:f>
        <x:v>110614.7</x:v>
      </x:c>
      <x:c r="J130" s="30" t="n">
        <x:f>IF(N130=1,SUMIFS('Dépositaire'!$Q$7:$Q$106,'Dépositaire'!$O$7:$O$106,B130,'Dépositaire'!$P$7:$P$106,C130),"n.d.")</x:f>
        <x:v>270</x:v>
      </x:c>
      <x:c r="K130" s="30" t="n">
        <x:f>IF(ISNUMBER(J130),E130-J130,"n.d.")</x:f>
        <x:v>0</x:v>
      </x:c>
      <x:c r="L130" s="37" t="str">
        <x:f>IF(OR(D130&lt;0,E130&lt;0),"Position négative","OK")</x:f>
        <x:v>OK</x:v>
      </x:c>
      <x:c r="M130" s="37" t="str">
        <x:f>IF(COUNTIFS('Marché'!$B$7:$B$106,"FR0000120321_2026-09-23")&lt;&gt;1,"Clé cours absente/dupliquée",IF(H130&lt;&gt;1,"Cours absent ou dupliqué",IF(NOT(ISNUMBER(F130)),"Cours invalide",IF(F130&lt;=0,"Cours invalide",IF(G130&lt;&gt;B130,"Cours périmé","OK")))))</x:f>
        <x:v>OK</x:v>
      </x:c>
      <x:c r="N130" s="30" t="n">
        <x:f>COUNTIFS('Dépositaire'!$O$7:$O$106,B130,'Dépositaire'!$P$7:$P$106,C130)</x:f>
        <x:v>1</x:v>
      </x:c>
      <x:c r="O130" s="30"/>
      <x:c r="P130" s="30"/>
      <x:c r="Q130" s="30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36" t="n">
        <x:v>46289</x:v>
      </x:c>
      <x:c r="C131" s="30" t="str">
        <x:v>FR0000120073</x:v>
      </x:c>
      <x:c r="D131" s="30" t="n">
        <x:f>SUMIFS($M$7:$M$76,$G$7:$G$76,C131,$D$7:$D$76,"&lt;="&amp;B131)</x:f>
        <x:v>720</x:v>
      </x:c>
      <x:c r="E131" s="30" t="n">
        <x:f>SUMIFS($M$7:$M$76,$G$7:$G$76,C131,$D$7:$D$76,"&lt;="&amp;B131,$F$7:$F$76,"&gt;0",$F$7:$F$76,"&lt;="&amp;B131)</x:f>
        <x:v>690</x:v>
      </x:c>
      <x:c r="F131" s="32" t="n">
        <x:f>IF(H131&lt;&gt;1,"n.d.",IF(COUNTIFS('Anomalies'!$C$19:$C$23,"FR0000120073_2026-09-24",'Anomalies'!$D$19:$D$23,"CoursEUR",'Anomalies'!$F$19:$F$23,"OUI")=1,SUMIFS('Anomalies'!$E$19:$E$23,'Anomalies'!$C$19:$C$23,"FR0000120073_2026-09-24",'Anomalies'!$D$19:$D$23,"CoursEUR",'Anomalies'!$F$19:$F$23,"OUI"),SUMIFS('Marché'!$E$7:$E$106,'Marché'!$C$7:$C$106,B131,'Marché'!$D$7:$D$106,C131)))</x:f>
        <x:v>167.59</x:v>
      </x:c>
      <x:c r="G131" s="36" t="n">
        <x:f>IF(H131&lt;&gt;1,"",IF(COUNTIFS('Anomalies'!$C$19:$C$23,"FR0000120073_2026-09-24",'Anomalies'!$D$19:$D$23,"CoursEUR",'Anomalies'!$F$19:$F$23,"OUI")=1,B131,SUMIFS('Marché'!$F$7:$F$106,'Marché'!$C$7:$C$106,B131,'Marché'!$D$7:$D$106,C131)))</x:f>
        <x:v>46289</x:v>
      </x:c>
      <x:c r="H131" s="30" t="n">
        <x:f>COUNTIFS('Marché'!$C$7:$C$106,B131,'Marché'!$D$7:$D$106,C131)</x:f>
        <x:v>1</x:v>
      </x:c>
      <x:c r="I131" s="32" t="n">
        <x:f>IF(M131="OK",D131*F131,"n.d.")</x:f>
        <x:v>120664.8</x:v>
      </x:c>
      <x:c r="J131" s="30" t="n">
        <x:f>IF(N131=1,SUMIFS('Dépositaire'!$Q$7:$Q$106,'Dépositaire'!$O$7:$O$106,B131,'Dépositaire'!$P$7:$P$106,C131),"n.d.")</x:f>
        <x:v>690</x:v>
      </x:c>
      <x:c r="K131" s="30" t="n">
        <x:f>IF(ISNUMBER(J131),E131-J131,"n.d.")</x:f>
        <x:v>0</x:v>
      </x:c>
      <x:c r="L131" s="37" t="str">
        <x:f>IF(OR(D131&lt;0,E131&lt;0),"Position négative","OK")</x:f>
        <x:v>OK</x:v>
      </x:c>
      <x:c r="M131" s="37" t="str">
        <x:f>IF(COUNTIFS('Marché'!$B$7:$B$106,"FR0000120073_2026-09-24")&lt;&gt;1,"Clé cours absente/dupliquée",IF(H131&lt;&gt;1,"Cours absent ou dupliqué",IF(NOT(ISNUMBER(F131)),"Cours invalide",IF(F131&lt;=0,"Cours invalide",IF(G131&lt;&gt;B131,"Cours périmé","OK")))))</x:f>
        <x:v>OK</x:v>
      </x:c>
      <x:c r="N131" s="30" t="n">
        <x:f>COUNTIFS('Dépositaire'!$O$7:$O$106,B131,'Dépositaire'!$P$7:$P$106,C131)</x:f>
        <x:v>1</x:v>
      </x:c>
      <x:c r="O131" s="30"/>
      <x:c r="P131" s="30"/>
      <x:c r="Q131" s="30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36" t="n">
        <x:v>46289</x:v>
      </x:c>
      <x:c r="C132" s="30" t="str">
        <x:v>FR0000121972</x:v>
      </x:c>
      <x:c r="D132" s="30" t="n">
        <x:f>SUMIFS($M$7:$M$76,$G$7:$G$76,C132,$D$7:$D$76,"&lt;="&amp;B132)</x:f>
        <x:v>425</x:v>
      </x:c>
      <x:c r="E132" s="30" t="n">
        <x:f>SUMIFS($M$7:$M$76,$G$7:$G$76,C132,$D$7:$D$76,"&lt;="&amp;B132,$F$7:$F$76,"&gt;0",$F$7:$F$76,"&lt;="&amp;B132)</x:f>
        <x:v>410</x:v>
      </x:c>
      <x:c r="F132" s="32" t="n">
        <x:f>IF(H132&lt;&gt;1,"n.d.",IF(COUNTIFS('Anomalies'!$C$19:$C$23,"FR0000121972_2026-09-24",'Anomalies'!$D$19:$D$23,"CoursEUR",'Anomalies'!$F$19:$F$23,"OUI")=1,SUMIFS('Anomalies'!$E$19:$E$23,'Anomalies'!$C$19:$C$23,"FR0000121972_2026-09-24",'Anomalies'!$D$19:$D$23,"CoursEUR",'Anomalies'!$F$19:$F$23,"OUI"),SUMIFS('Marché'!$E$7:$E$106,'Marché'!$C$7:$C$106,B132,'Marché'!$D$7:$D$106,C132)))</x:f>
        <x:v>207.28</x:v>
      </x:c>
      <x:c r="G132" s="36" t="n">
        <x:f>IF(H132&lt;&gt;1,"",IF(COUNTIFS('Anomalies'!$C$19:$C$23,"FR0000121972_2026-09-24",'Anomalies'!$D$19:$D$23,"CoursEUR",'Anomalies'!$F$19:$F$23,"OUI")=1,B132,SUMIFS('Marché'!$F$7:$F$106,'Marché'!$C$7:$C$106,B132,'Marché'!$D$7:$D$106,C132)))</x:f>
        <x:v>46289</x:v>
      </x:c>
      <x:c r="H132" s="30" t="n">
        <x:f>COUNTIFS('Marché'!$C$7:$C$106,B132,'Marché'!$D$7:$D$106,C132)</x:f>
        <x:v>1</x:v>
      </x:c>
      <x:c r="I132" s="32" t="n">
        <x:f>IF(M132="OK",D132*F132,"n.d.")</x:f>
        <x:v>88094</x:v>
      </x:c>
      <x:c r="J132" s="30" t="n">
        <x:f>IF(N132=1,SUMIFS('Dépositaire'!$Q$7:$Q$106,'Dépositaire'!$O$7:$O$106,B132,'Dépositaire'!$P$7:$P$106,C132),"n.d.")</x:f>
        <x:v>410</x:v>
      </x:c>
      <x:c r="K132" s="30" t="n">
        <x:f>IF(ISNUMBER(J132),E132-J132,"n.d.")</x:f>
        <x:v>0</x:v>
      </x:c>
      <x:c r="L132" s="37" t="str">
        <x:f>IF(OR(D132&lt;0,E132&lt;0),"Position négative","OK")</x:f>
        <x:v>OK</x:v>
      </x:c>
      <x:c r="M132" s="37" t="str">
        <x:f>IF(COUNTIFS('Marché'!$B$7:$B$106,"FR0000121972_2026-09-24")&lt;&gt;1,"Clé cours absente/dupliquée",IF(H132&lt;&gt;1,"Cours absent ou dupliqué",IF(NOT(ISNUMBER(F132)),"Cours invalide",IF(F132&lt;=0,"Cours invalide",IF(G132&lt;&gt;B132,"Cours périmé","OK")))))</x:f>
        <x:v>OK</x:v>
      </x:c>
      <x:c r="N132" s="30" t="n">
        <x:f>COUNTIFS('Dépositaire'!$O$7:$O$106,B132,'Dépositaire'!$P$7:$P$106,C132)</x:f>
        <x:v>1</x:v>
      </x:c>
      <x:c r="O132" s="30"/>
      <x:c r="P132" s="30"/>
      <x:c r="Q132" s="30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36" t="n">
        <x:v>46289</x:v>
      </x:c>
      <x:c r="C133" s="30" t="str">
        <x:v>FR0000120644</x:v>
      </x:c>
      <x:c r="D133" s="30" t="n">
        <x:f>SUMIFS($M$7:$M$76,$G$7:$G$76,C133,$D$7:$D$76,"&lt;="&amp;B133)</x:f>
        <x:v>1775</x:v>
      </x:c>
      <x:c r="E133" s="30" t="n">
        <x:f>SUMIFS($M$7:$M$76,$G$7:$G$76,C133,$D$7:$D$76,"&lt;="&amp;B133,$F$7:$F$76,"&gt;0",$F$7:$F$76,"&lt;="&amp;B133)</x:f>
        <x:v>1850</x:v>
      </x:c>
      <x:c r="F133" s="32" t="n">
        <x:f>IF(H133&lt;&gt;1,"n.d.",IF(COUNTIFS('Anomalies'!$C$19:$C$23,"FR0000120644_2026-09-24",'Anomalies'!$D$19:$D$23,"CoursEUR",'Anomalies'!$F$19:$F$23,"OUI")=1,SUMIFS('Anomalies'!$E$19:$E$23,'Anomalies'!$C$19:$C$23,"FR0000120644_2026-09-24",'Anomalies'!$D$19:$D$23,"CoursEUR",'Anomalies'!$F$19:$F$23,"OUI"),SUMIFS('Marché'!$E$7:$E$106,'Marché'!$C$7:$C$106,B133,'Marché'!$D$7:$D$106,C133)))</x:f>
        <x:v>60.61</x:v>
      </x:c>
      <x:c r="G133" s="36" t="n">
        <x:f>IF(H133&lt;&gt;1,"",IF(COUNTIFS('Anomalies'!$C$19:$C$23,"FR0000120644_2026-09-24",'Anomalies'!$D$19:$D$23,"CoursEUR",'Anomalies'!$F$19:$F$23,"OUI")=1,B133,SUMIFS('Marché'!$F$7:$F$106,'Marché'!$C$7:$C$106,B133,'Marché'!$D$7:$D$106,C133)))</x:f>
        <x:v>46289</x:v>
      </x:c>
      <x:c r="H133" s="30" t="n">
        <x:f>COUNTIFS('Marché'!$C$7:$C$106,B133,'Marché'!$D$7:$D$106,C133)</x:f>
        <x:v>1</x:v>
      </x:c>
      <x:c r="I133" s="32" t="n">
        <x:f>IF(M133="OK",D133*F133,"n.d.")</x:f>
        <x:v>107582.75</x:v>
      </x:c>
      <x:c r="J133" s="30" t="n">
        <x:f>IF(N133=1,SUMIFS('Dépositaire'!$Q$7:$Q$106,'Dépositaire'!$O$7:$O$106,B133,'Dépositaire'!$P$7:$P$106,C133),"n.d.")</x:f>
        <x:v>1850</x:v>
      </x:c>
      <x:c r="K133" s="30" t="n">
        <x:f>IF(ISNUMBER(J133),E133-J133,"n.d.")</x:f>
        <x:v>0</x:v>
      </x:c>
      <x:c r="L133" s="37" t="str">
        <x:f>IF(OR(D133&lt;0,E133&lt;0),"Position négative","OK")</x:f>
        <x:v>OK</x:v>
      </x:c>
      <x:c r="M133" s="37" t="str">
        <x:f>IF(COUNTIFS('Marché'!$B$7:$B$106,"FR0000120644_2026-09-24")&lt;&gt;1,"Clé cours absente/dupliquée",IF(H133&lt;&gt;1,"Cours absent ou dupliqué",IF(NOT(ISNUMBER(F133)),"Cours invalide",IF(F133&lt;=0,"Cours invalide",IF(G133&lt;&gt;B133,"Cours périmé","OK")))))</x:f>
        <x:v>OK</x:v>
      </x:c>
      <x:c r="N133" s="30" t="n">
        <x:f>COUNTIFS('Dépositaire'!$O$7:$O$106,B133,'Dépositaire'!$P$7:$P$106,C133)</x:f>
        <x:v>1</x:v>
      </x:c>
      <x:c r="O133" s="30"/>
      <x:c r="P133" s="30"/>
      <x:c r="Q133" s="30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36" t="n">
        <x:v>46289</x:v>
      </x:c>
      <x:c r="C134" s="30" t="str">
        <x:v>FR0000125486</x:v>
      </x:c>
      <x:c r="D134" s="30" t="n">
        <x:f>SUMIFS($M$7:$M$76,$G$7:$G$76,C134,$D$7:$D$76,"&lt;="&amp;B134)</x:f>
        <x:v>930</x:v>
      </x:c>
      <x:c r="E134" s="30" t="n">
        <x:f>SUMIFS($M$7:$M$76,$G$7:$G$76,C134,$D$7:$D$76,"&lt;="&amp;B134,$F$7:$F$76,"&gt;0",$F$7:$F$76,"&lt;="&amp;B134)</x:f>
        <x:v>850</x:v>
      </x:c>
      <x:c r="F134" s="32" t="n">
        <x:f>IF(H134&lt;&gt;1,"n.d.",IF(COUNTIFS('Anomalies'!$C$19:$C$23,"FR0000125486_2026-09-24",'Anomalies'!$D$19:$D$23,"CoursEUR",'Anomalies'!$F$19:$F$23,"OUI")=1,SUMIFS('Anomalies'!$E$19:$E$23,'Anomalies'!$C$19:$C$23,"FR0000125486_2026-09-24",'Anomalies'!$D$19:$D$23,"CoursEUR",'Anomalies'!$F$19:$F$23,"OUI"),SUMIFS('Marché'!$E$7:$E$106,'Marché'!$C$7:$C$106,B134,'Marché'!$D$7:$D$106,C134)))</x:f>
        <x:v>117.11</x:v>
      </x:c>
      <x:c r="G134" s="36" t="n">
        <x:f>IF(H134&lt;&gt;1,"",IF(COUNTIFS('Anomalies'!$C$19:$C$23,"FR0000125486_2026-09-24",'Anomalies'!$D$19:$D$23,"CoursEUR",'Anomalies'!$F$19:$F$23,"OUI")=1,B134,SUMIFS('Marché'!$F$7:$F$106,'Marché'!$C$7:$C$106,B134,'Marché'!$D$7:$D$106,C134)))</x:f>
        <x:v>46289</x:v>
      </x:c>
      <x:c r="H134" s="30" t="n">
        <x:f>COUNTIFS('Marché'!$C$7:$C$106,B134,'Marché'!$D$7:$D$106,C134)</x:f>
        <x:v>1</x:v>
      </x:c>
      <x:c r="I134" s="32" t="n">
        <x:f>IF(M134="OK",D134*F134,"n.d.")</x:f>
        <x:v>108912.3</x:v>
      </x:c>
      <x:c r="J134" s="30" t="n">
        <x:f>IF(N134=1,SUMIFS('Dépositaire'!$Q$7:$Q$106,'Dépositaire'!$O$7:$O$106,B134,'Dépositaire'!$P$7:$P$106,C134),"n.d.")</x:f>
        <x:v>850</x:v>
      </x:c>
      <x:c r="K134" s="30" t="n">
        <x:f>IF(ISNUMBER(J134),E134-J134,"n.d.")</x:f>
        <x:v>0</x:v>
      </x:c>
      <x:c r="L134" s="37" t="str">
        <x:f>IF(OR(D134&lt;0,E134&lt;0),"Position négative","OK")</x:f>
        <x:v>OK</x:v>
      </x:c>
      <x:c r="M134" s="37" t="str">
        <x:f>IF(COUNTIFS('Marché'!$B$7:$B$106,"FR0000125486_2026-09-24")&lt;&gt;1,"Clé cours absente/dupliquée",IF(H134&lt;&gt;1,"Cours absent ou dupliqué",IF(NOT(ISNUMBER(F134)),"Cours invalide",IF(F134&lt;=0,"Cours invalide",IF(G134&lt;&gt;B134,"Cours périmé","OK")))))</x:f>
        <x:v>OK</x:v>
      </x:c>
      <x:c r="N134" s="30" t="n">
        <x:f>COUNTIFS('Dépositaire'!$O$7:$O$106,B134,'Dépositaire'!$P$7:$P$106,C134)</x:f>
        <x:v>1</x:v>
      </x:c>
      <x:c r="O134" s="30"/>
      <x:c r="P134" s="30"/>
      <x:c r="Q134" s="30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36" t="n">
        <x:v>46289</x:v>
      </x:c>
      <x:c r="C135" s="30" t="str">
        <x:v>FR0000120321</x:v>
      </x:c>
      <x:c r="D135" s="30" t="n">
        <x:f>SUMIFS($M$7:$M$76,$G$7:$G$76,C135,$D$7:$D$76,"&lt;="&amp;B135)</x:f>
        <x:v>290</x:v>
      </x:c>
      <x:c r="E135" s="30" t="n">
        <x:f>SUMIFS($M$7:$M$76,$G$7:$G$76,C135,$D$7:$D$76,"&lt;="&amp;B135,$F$7:$F$76,"&gt;0",$F$7:$F$76,"&lt;="&amp;B135)</x:f>
        <x:v>290</x:v>
      </x:c>
      <x:c r="F135" s="32" t="n">
        <x:f>IF(H135&lt;&gt;1,"n.d.",IF(COUNTIFS('Anomalies'!$C$19:$C$23,"FR0000120321_2026-09-24",'Anomalies'!$D$19:$D$23,"CoursEUR",'Anomalies'!$F$19:$F$23,"OUI")=1,SUMIFS('Anomalies'!$E$19:$E$23,'Anomalies'!$C$19:$C$23,"FR0000120321_2026-09-24",'Anomalies'!$D$19:$D$23,"CoursEUR",'Anomalies'!$F$19:$F$23,"OUI"),SUMIFS('Marché'!$E$7:$E$106,'Marché'!$C$7:$C$106,B135,'Marché'!$D$7:$D$106,C135)))</x:f>
        <x:v>381.32</x:v>
      </x:c>
      <x:c r="G135" s="36" t="n">
        <x:f>IF(H135&lt;&gt;1,"",IF(COUNTIFS('Anomalies'!$C$19:$C$23,"FR0000120321_2026-09-24",'Anomalies'!$D$19:$D$23,"CoursEUR",'Anomalies'!$F$19:$F$23,"OUI")=1,B135,SUMIFS('Marché'!$F$7:$F$106,'Marché'!$C$7:$C$106,B135,'Marché'!$D$7:$D$106,C135)))</x:f>
        <x:v>46289</x:v>
      </x:c>
      <x:c r="H135" s="30" t="n">
        <x:f>COUNTIFS('Marché'!$C$7:$C$106,B135,'Marché'!$D$7:$D$106,C135)</x:f>
        <x:v>1</x:v>
      </x:c>
      <x:c r="I135" s="32" t="n">
        <x:f>IF(M135="OK",D135*F135,"n.d.")</x:f>
        <x:v>110582.8</x:v>
      </x:c>
      <x:c r="J135" s="30" t="n">
        <x:f>IF(N135=1,SUMIFS('Dépositaire'!$Q$7:$Q$106,'Dépositaire'!$O$7:$O$106,B135,'Dépositaire'!$P$7:$P$106,C135),"n.d.")</x:f>
        <x:v>290</x:v>
      </x:c>
      <x:c r="K135" s="30" t="n">
        <x:f>IF(ISNUMBER(J135),E135-J135,"n.d.")</x:f>
        <x:v>0</x:v>
      </x:c>
      <x:c r="L135" s="37" t="str">
        <x:f>IF(OR(D135&lt;0,E135&lt;0),"Position négative","OK")</x:f>
        <x:v>OK</x:v>
      </x:c>
      <x:c r="M135" s="37" t="str">
        <x:f>IF(COUNTIFS('Marché'!$B$7:$B$106,"FR0000120321_2026-09-24")&lt;&gt;1,"Clé cours absente/dupliquée",IF(H135&lt;&gt;1,"Cours absent ou dupliqué",IF(NOT(ISNUMBER(F135)),"Cours invalide",IF(F135&lt;=0,"Cours invalide",IF(G135&lt;&gt;B135,"Cours périmé","OK")))))</x:f>
        <x:v>OK</x:v>
      </x:c>
      <x:c r="N135" s="30" t="n">
        <x:f>COUNTIFS('Dépositaire'!$O$7:$O$106,B135,'Dépositaire'!$P$7:$P$106,C135)</x:f>
        <x:v>1</x:v>
      </x:c>
      <x:c r="O135" s="30"/>
      <x:c r="P135" s="30"/>
      <x:c r="Q135" s="30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36" t="n">
        <x:v>46290</x:v>
      </x:c>
      <x:c r="C136" s="30" t="str">
        <x:v>FR0000120073</x:v>
      </x:c>
      <x:c r="D136" s="30" t="n">
        <x:f>SUMIFS($M$7:$M$76,$G$7:$G$76,C136,$D$7:$D$76,"&lt;="&amp;B136)</x:f>
        <x:v>720</x:v>
      </x:c>
      <x:c r="E136" s="30" t="n">
        <x:f>SUMIFS($M$7:$M$76,$G$7:$G$76,C136,$D$7:$D$76,"&lt;="&amp;B136,$F$7:$F$76,"&gt;0",$F$7:$F$76,"&lt;="&amp;B136)</x:f>
        <x:v>720</x:v>
      </x:c>
      <x:c r="F136" s="32" t="n">
        <x:f>IF(H136&lt;&gt;1,"n.d.",IF(COUNTIFS('Anomalies'!$C$19:$C$23,"FR0000120073_2026-09-25",'Anomalies'!$D$19:$D$23,"CoursEUR",'Anomalies'!$F$19:$F$23,"OUI")=1,SUMIFS('Anomalies'!$E$19:$E$23,'Anomalies'!$C$19:$C$23,"FR0000120073_2026-09-25",'Anomalies'!$D$19:$D$23,"CoursEUR",'Anomalies'!$F$19:$F$23,"OUI"),SUMIFS('Marché'!$E$7:$E$106,'Marché'!$C$7:$C$106,B136,'Marché'!$D$7:$D$106,C136)))</x:f>
        <x:v>167.17</x:v>
      </x:c>
      <x:c r="G136" s="36" t="n">
        <x:f>IF(H136&lt;&gt;1,"",IF(COUNTIFS('Anomalies'!$C$19:$C$23,"FR0000120073_2026-09-25",'Anomalies'!$D$19:$D$23,"CoursEUR",'Anomalies'!$F$19:$F$23,"OUI")=1,B136,SUMIFS('Marché'!$F$7:$F$106,'Marché'!$C$7:$C$106,B136,'Marché'!$D$7:$D$106,C136)))</x:f>
        <x:v>46290</x:v>
      </x:c>
      <x:c r="H136" s="30" t="n">
        <x:f>COUNTIFS('Marché'!$C$7:$C$106,B136,'Marché'!$D$7:$D$106,C136)</x:f>
        <x:v>1</x:v>
      </x:c>
      <x:c r="I136" s="32" t="n">
        <x:f>IF(M136="OK",D136*F136,"n.d.")</x:f>
        <x:v>120362.4</x:v>
      </x:c>
      <x:c r="J136" s="30" t="n">
        <x:f>IF(N136=1,SUMIFS('Dépositaire'!$Q$7:$Q$106,'Dépositaire'!$O$7:$O$106,B136,'Dépositaire'!$P$7:$P$106,C136),"n.d.")</x:f>
        <x:v>720</x:v>
      </x:c>
      <x:c r="K136" s="30" t="n">
        <x:f>IF(ISNUMBER(J136),E136-J136,"n.d.")</x:f>
        <x:v>0</x:v>
      </x:c>
      <x:c r="L136" s="37" t="str">
        <x:f>IF(OR(D136&lt;0,E136&lt;0),"Position négative","OK")</x:f>
        <x:v>OK</x:v>
      </x:c>
      <x:c r="M136" s="37" t="str">
        <x:f>IF(COUNTIFS('Marché'!$B$7:$B$106,"FR0000120073_2026-09-25")&lt;&gt;1,"Clé cours absente/dupliquée",IF(H136&lt;&gt;1,"Cours absent ou dupliqué",IF(NOT(ISNUMBER(F136)),"Cours invalide",IF(F136&lt;=0,"Cours invalide",IF(G136&lt;&gt;B136,"Cours périmé","OK")))))</x:f>
        <x:v>OK</x:v>
      </x:c>
      <x:c r="N136" s="30" t="n">
        <x:f>COUNTIFS('Dépositaire'!$O$7:$O$106,B136,'Dépositaire'!$P$7:$P$106,C136)</x:f>
        <x:v>1</x:v>
      </x:c>
      <x:c r="O136" s="30"/>
      <x:c r="P136" s="30"/>
      <x:c r="Q136" s="30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36" t="n">
        <x:v>46290</x:v>
      </x:c>
      <x:c r="C137" s="30" t="str">
        <x:v>FR0000121972</x:v>
      </x:c>
      <x:c r="D137" s="30" t="n">
        <x:f>SUMIFS($M$7:$M$76,$G$7:$G$76,C137,$D$7:$D$76,"&lt;="&amp;B137)</x:f>
        <x:v>425</x:v>
      </x:c>
      <x:c r="E137" s="30" t="n">
        <x:f>SUMIFS($M$7:$M$76,$G$7:$G$76,C137,$D$7:$D$76,"&lt;="&amp;B137,$F$7:$F$76,"&gt;0",$F$7:$F$76,"&lt;="&amp;B137)</x:f>
        <x:v>450</x:v>
      </x:c>
      <x:c r="F137" s="32" t="n">
        <x:f>IF(H137&lt;&gt;1,"n.d.",IF(COUNTIFS('Anomalies'!$C$19:$C$23,"FR0000121972_2026-09-25",'Anomalies'!$D$19:$D$23,"CoursEUR",'Anomalies'!$F$19:$F$23,"OUI")=1,SUMIFS('Anomalies'!$E$19:$E$23,'Anomalies'!$C$19:$C$23,"FR0000121972_2026-09-25",'Anomalies'!$D$19:$D$23,"CoursEUR",'Anomalies'!$F$19:$F$23,"OUI"),SUMIFS('Marché'!$E$7:$E$106,'Marché'!$C$7:$C$106,B137,'Marché'!$D$7:$D$106,C137)))</x:f>
        <x:v>207.29</x:v>
      </x:c>
      <x:c r="G137" s="36" t="n">
        <x:f>IF(H137&lt;&gt;1,"",IF(COUNTIFS('Anomalies'!$C$19:$C$23,"FR0000121972_2026-09-25",'Anomalies'!$D$19:$D$23,"CoursEUR",'Anomalies'!$F$19:$F$23,"OUI")=1,B137,SUMIFS('Marché'!$F$7:$F$106,'Marché'!$C$7:$C$106,B137,'Marché'!$D$7:$D$106,C137)))</x:f>
        <x:v>46290</x:v>
      </x:c>
      <x:c r="H137" s="30" t="n">
        <x:f>COUNTIFS('Marché'!$C$7:$C$106,B137,'Marché'!$D$7:$D$106,C137)</x:f>
        <x:v>1</x:v>
      </x:c>
      <x:c r="I137" s="32" t="n">
        <x:f>IF(M137="OK",D137*F137,"n.d.")</x:f>
        <x:v>88098.25</x:v>
      </x:c>
      <x:c r="J137" s="30" t="n">
        <x:f>IF(N137=1,SUMIFS('Dépositaire'!$Q$7:$Q$106,'Dépositaire'!$O$7:$O$106,B137,'Dépositaire'!$P$7:$P$106,C137),"n.d.")</x:f>
        <x:v>450</x:v>
      </x:c>
      <x:c r="K137" s="30" t="n">
        <x:f>IF(ISNUMBER(J137),E137-J137,"n.d.")</x:f>
        <x:v>0</x:v>
      </x:c>
      <x:c r="L137" s="37" t="str">
        <x:f>IF(OR(D137&lt;0,E137&lt;0),"Position négative","OK")</x:f>
        <x:v>OK</x:v>
      </x:c>
      <x:c r="M137" s="37" t="str">
        <x:f>IF(COUNTIFS('Marché'!$B$7:$B$106,"FR0000121972_2026-09-25")&lt;&gt;1,"Clé cours absente/dupliquée",IF(H137&lt;&gt;1,"Cours absent ou dupliqué",IF(NOT(ISNUMBER(F137)),"Cours invalide",IF(F137&lt;=0,"Cours invalide",IF(G137&lt;&gt;B137,"Cours périmé","OK")))))</x:f>
        <x:v>OK</x:v>
      </x:c>
      <x:c r="N137" s="30" t="n">
        <x:f>COUNTIFS('Dépositaire'!$O$7:$O$106,B137,'Dépositaire'!$P$7:$P$106,C137)</x:f>
        <x:v>1</x:v>
      </x:c>
      <x:c r="O137" s="30"/>
      <x:c r="P137" s="30"/>
      <x:c r="Q137" s="30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36" t="n">
        <x:v>46290</x:v>
      </x:c>
      <x:c r="C138" s="30" t="str">
        <x:v>FR0000120644</x:v>
      </x:c>
      <x:c r="D138" s="30" t="n">
        <x:f>SUMIFS($M$7:$M$76,$G$7:$G$76,C138,$D$7:$D$76,"&lt;="&amp;B138)</x:f>
        <x:v>1775</x:v>
      </x:c>
      <x:c r="E138" s="30" t="n">
        <x:f>SUMIFS($M$7:$M$76,$G$7:$G$76,C138,$D$7:$D$76,"&lt;="&amp;B138,$F$7:$F$76,"&gt;0",$F$7:$F$76,"&lt;="&amp;B138)</x:f>
        <x:v>1775</x:v>
      </x:c>
      <x:c r="F138" s="32" t="n">
        <x:f>IF(H138&lt;&gt;1,"n.d.",IF(COUNTIFS('Anomalies'!$C$19:$C$23,"FR0000120644_2026-09-25",'Anomalies'!$D$19:$D$23,"CoursEUR",'Anomalies'!$F$19:$F$23,"OUI")=1,SUMIFS('Anomalies'!$E$19:$E$23,'Anomalies'!$C$19:$C$23,"FR0000120644_2026-09-25",'Anomalies'!$D$19:$D$23,"CoursEUR",'Anomalies'!$F$19:$F$23,"OUI"),SUMIFS('Marché'!$E$7:$E$106,'Marché'!$C$7:$C$106,B138,'Marché'!$D$7:$D$106,C138)))</x:f>
        <x:v>61.08</x:v>
      </x:c>
      <x:c r="G138" s="36" t="n">
        <x:f>IF(H138&lt;&gt;1,"",IF(COUNTIFS('Anomalies'!$C$19:$C$23,"FR0000120644_2026-09-25",'Anomalies'!$D$19:$D$23,"CoursEUR",'Anomalies'!$F$19:$F$23,"OUI")=1,B138,SUMIFS('Marché'!$F$7:$F$106,'Marché'!$C$7:$C$106,B138,'Marché'!$D$7:$D$106,C138)))</x:f>
        <x:v>46290</x:v>
      </x:c>
      <x:c r="H138" s="30" t="n">
        <x:f>COUNTIFS('Marché'!$C$7:$C$106,B138,'Marché'!$D$7:$D$106,C138)</x:f>
        <x:v>1</x:v>
      </x:c>
      <x:c r="I138" s="32" t="n">
        <x:f>IF(M138="OK",D138*F138,"n.d.")</x:f>
        <x:v>108417</x:v>
      </x:c>
      <x:c r="J138" s="30" t="n">
        <x:f>IF(N138=1,SUMIFS('Dépositaire'!$Q$7:$Q$106,'Dépositaire'!$O$7:$O$106,B138,'Dépositaire'!$P$7:$P$106,C138),"n.d.")</x:f>
        <x:v>1775</x:v>
      </x:c>
      <x:c r="K138" s="30" t="n">
        <x:f>IF(ISNUMBER(J138),E138-J138,"n.d.")</x:f>
        <x:v>0</x:v>
      </x:c>
      <x:c r="L138" s="37" t="str">
        <x:f>IF(OR(D138&lt;0,E138&lt;0),"Position négative","OK")</x:f>
        <x:v>OK</x:v>
      </x:c>
      <x:c r="M138" s="37" t="str">
        <x:f>IF(COUNTIFS('Marché'!$B$7:$B$106,"FR0000120644_2026-09-25")&lt;&gt;1,"Clé cours absente/dupliquée",IF(H138&lt;&gt;1,"Cours absent ou dupliqué",IF(NOT(ISNUMBER(F138)),"Cours invalide",IF(F138&lt;=0,"Cours invalide",IF(G138&lt;&gt;B138,"Cours périmé","OK")))))</x:f>
        <x:v>OK</x:v>
      </x:c>
      <x:c r="N138" s="30" t="n">
        <x:f>COUNTIFS('Dépositaire'!$O$7:$O$106,B138,'Dépositaire'!$P$7:$P$106,C138)</x:f>
        <x:v>1</x:v>
      </x:c>
      <x:c r="O138" s="30"/>
      <x:c r="P138" s="30"/>
      <x:c r="Q138" s="30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36" t="n">
        <x:v>46290</x:v>
      </x:c>
      <x:c r="C139" s="30" t="str">
        <x:v>FR0000125486</x:v>
      </x:c>
      <x:c r="D139" s="30" t="n">
        <x:f>SUMIFS($M$7:$M$76,$G$7:$G$76,C139,$D$7:$D$76,"&lt;="&amp;B139)</x:f>
        <x:v>930</x:v>
      </x:c>
      <x:c r="E139" s="30" t="n">
        <x:f>SUMIFS($M$7:$M$76,$G$7:$G$76,C139,$D$7:$D$76,"&lt;="&amp;B139,$F$7:$F$76,"&gt;0",$F$7:$F$76,"&lt;="&amp;B139)</x:f>
        <x:v>850</x:v>
      </x:c>
      <x:c r="F139" s="32" t="n">
        <x:f>IF(H139&lt;&gt;1,"n.d.",IF(COUNTIFS('Anomalies'!$C$19:$C$23,"FR0000125486_2026-09-25",'Anomalies'!$D$19:$D$23,"CoursEUR",'Anomalies'!$F$19:$F$23,"OUI")=1,SUMIFS('Anomalies'!$E$19:$E$23,'Anomalies'!$C$19:$C$23,"FR0000125486_2026-09-25",'Anomalies'!$D$19:$D$23,"CoursEUR",'Anomalies'!$F$19:$F$23,"OUI"),SUMIFS('Marché'!$E$7:$E$106,'Marché'!$C$7:$C$106,B139,'Marché'!$D$7:$D$106,C139)))</x:f>
        <x:v>116.63</x:v>
      </x:c>
      <x:c r="G139" s="36" t="n">
        <x:f>IF(H139&lt;&gt;1,"",IF(COUNTIFS('Anomalies'!$C$19:$C$23,"FR0000125486_2026-09-25",'Anomalies'!$D$19:$D$23,"CoursEUR",'Anomalies'!$F$19:$F$23,"OUI")=1,B139,SUMIFS('Marché'!$F$7:$F$106,'Marché'!$C$7:$C$106,B139,'Marché'!$D$7:$D$106,C139)))</x:f>
        <x:v>46290</x:v>
      </x:c>
      <x:c r="H139" s="30" t="n">
        <x:f>COUNTIFS('Marché'!$C$7:$C$106,B139,'Marché'!$D$7:$D$106,C139)</x:f>
        <x:v>1</x:v>
      </x:c>
      <x:c r="I139" s="32" t="n">
        <x:f>IF(M139="OK",D139*F139,"n.d.")</x:f>
        <x:v>108465.9</x:v>
      </x:c>
      <x:c r="J139" s="30" t="n">
        <x:f>IF(N139=1,SUMIFS('Dépositaire'!$Q$7:$Q$106,'Dépositaire'!$O$7:$O$106,B139,'Dépositaire'!$P$7:$P$106,C139),"n.d.")</x:f>
        <x:v>850</x:v>
      </x:c>
      <x:c r="K139" s="30" t="n">
        <x:f>IF(ISNUMBER(J139),E139-J139,"n.d.")</x:f>
        <x:v>0</x:v>
      </x:c>
      <x:c r="L139" s="37" t="str">
        <x:f>IF(OR(D139&lt;0,E139&lt;0),"Position négative","OK")</x:f>
        <x:v>OK</x:v>
      </x:c>
      <x:c r="M139" s="37" t="str">
        <x:f>IF(COUNTIFS('Marché'!$B$7:$B$106,"FR0000125486_2026-09-25")&lt;&gt;1,"Clé cours absente/dupliquée",IF(H139&lt;&gt;1,"Cours absent ou dupliqué",IF(NOT(ISNUMBER(F139)),"Cours invalide",IF(F139&lt;=0,"Cours invalide",IF(G139&lt;&gt;B139,"Cours périmé","OK")))))</x:f>
        <x:v>OK</x:v>
      </x:c>
      <x:c r="N139" s="30" t="n">
        <x:f>COUNTIFS('Dépositaire'!$O$7:$O$106,B139,'Dépositaire'!$P$7:$P$106,C139)</x:f>
        <x:v>1</x:v>
      </x:c>
      <x:c r="O139" s="30"/>
      <x:c r="P139" s="30"/>
      <x:c r="Q139" s="30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36" t="n">
        <x:v>46290</x:v>
      </x:c>
      <x:c r="C140" s="30" t="str">
        <x:v>FR0000120321</x:v>
      </x:c>
      <x:c r="D140" s="30" t="n">
        <x:f>SUMIFS($M$7:$M$76,$G$7:$G$76,C140,$D$7:$D$76,"&lt;="&amp;B140)</x:f>
        <x:v>275</x:v>
      </x:c>
      <x:c r="E140" s="30" t="n">
        <x:f>SUMIFS($M$7:$M$76,$G$7:$G$76,C140,$D$7:$D$76,"&lt;="&amp;B140,$F$7:$F$76,"&gt;0",$F$7:$F$76,"&lt;="&amp;B140)</x:f>
        <x:v>290</x:v>
      </x:c>
      <x:c r="F140" s="32" t="n">
        <x:f>IF(H140&lt;&gt;1,"n.d.",IF(COUNTIFS('Anomalies'!$C$19:$C$23,"FR0000120321_2026-09-25",'Anomalies'!$D$19:$D$23,"CoursEUR",'Anomalies'!$F$19:$F$23,"OUI")=1,SUMIFS('Anomalies'!$E$19:$E$23,'Anomalies'!$C$19:$C$23,"FR0000120321_2026-09-25",'Anomalies'!$D$19:$D$23,"CoursEUR",'Anomalies'!$F$19:$F$23,"OUI"),SUMIFS('Marché'!$E$7:$E$106,'Marché'!$C$7:$C$106,B140,'Marché'!$D$7:$D$106,C140)))</x:f>
        <x:v>381.21</x:v>
      </x:c>
      <x:c r="G140" s="36" t="n">
        <x:f>IF(H140&lt;&gt;1,"",IF(COUNTIFS('Anomalies'!$C$19:$C$23,"FR0000120321_2026-09-25",'Anomalies'!$D$19:$D$23,"CoursEUR",'Anomalies'!$F$19:$F$23,"OUI")=1,B140,SUMIFS('Marché'!$F$7:$F$106,'Marché'!$C$7:$C$106,B140,'Marché'!$D$7:$D$106,C140)))</x:f>
        <x:v>46290</x:v>
      </x:c>
      <x:c r="H140" s="30" t="n">
        <x:f>COUNTIFS('Marché'!$C$7:$C$106,B140,'Marché'!$D$7:$D$106,C140)</x:f>
        <x:v>1</x:v>
      </x:c>
      <x:c r="I140" s="32" t="n">
        <x:f>IF(M140="OK",D140*F140,"n.d.")</x:f>
        <x:v>104832.75</x:v>
      </x:c>
      <x:c r="J140" s="30" t="n">
        <x:f>IF(N140=1,SUMIFS('Dépositaire'!$Q$7:$Q$106,'Dépositaire'!$O$7:$O$106,B140,'Dépositaire'!$P$7:$P$106,C140),"n.d.")</x:f>
        <x:v>290</x:v>
      </x:c>
      <x:c r="K140" s="30" t="n">
        <x:f>IF(ISNUMBER(J140),E140-J140,"n.d.")</x:f>
        <x:v>0</x:v>
      </x:c>
      <x:c r="L140" s="37" t="str">
        <x:f>IF(OR(D140&lt;0,E140&lt;0),"Position négative","OK")</x:f>
        <x:v>OK</x:v>
      </x:c>
      <x:c r="M140" s="37" t="str">
        <x:f>IF(COUNTIFS('Marché'!$B$7:$B$106,"FR0000120321_2026-09-25")&lt;&gt;1,"Clé cours absente/dupliquée",IF(H140&lt;&gt;1,"Cours absent ou dupliqué",IF(NOT(ISNUMBER(F140)),"Cours invalide",IF(F140&lt;=0,"Cours invalide",IF(G140&lt;&gt;B140,"Cours périmé","OK")))))</x:f>
        <x:v>OK</x:v>
      </x:c>
      <x:c r="N140" s="30" t="n">
        <x:f>COUNTIFS('Dépositaire'!$O$7:$O$106,B140,'Dépositaire'!$P$7:$P$106,C140)</x:f>
        <x:v>1</x:v>
      </x:c>
      <x:c r="O140" s="30"/>
      <x:c r="P140" s="30"/>
      <x:c r="Q140" s="30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36" t="n">
        <x:v>46293</x:v>
      </x:c>
      <x:c r="C141" s="30" t="str">
        <x:v>FR0000120073</x:v>
      </x:c>
      <x:c r="D141" s="30" t="n">
        <x:f>SUMIFS($M$7:$M$76,$G$7:$G$76,C141,$D$7:$D$76,"&lt;="&amp;B141)</x:f>
        <x:v>720</x:v>
      </x:c>
      <x:c r="E141" s="30" t="n">
        <x:f>SUMIFS($M$7:$M$76,$G$7:$G$76,C141,$D$7:$D$76,"&lt;="&amp;B141,$F$7:$F$76,"&gt;0",$F$7:$F$76,"&lt;="&amp;B141)</x:f>
        <x:v>720</x:v>
      </x:c>
      <x:c r="F141" s="32" t="str">
        <x:f>IF(H141&lt;&gt;1,"n.d.",IF(COUNTIFS('Anomalies'!$C$19:$C$23,"FR0000120073_2026-09-28",'Anomalies'!$D$19:$D$23,"CoursEUR",'Anomalies'!$F$19:$F$23,"OUI")=1,SUMIFS('Anomalies'!$E$19:$E$23,'Anomalies'!$C$19:$C$23,"FR0000120073_2026-09-28",'Anomalies'!$D$19:$D$23,"CoursEUR",'Anomalies'!$F$19:$F$23,"OUI"),SUMIFS('Marché'!$E$7:$E$106,'Marché'!$C$7:$C$106,B141,'Marché'!$D$7:$D$106,C141)))</x:f>
        <x:v>n.d.</x:v>
      </x:c>
      <x:c r="G141" s="36" t="str">
        <x:f>IF(H141&lt;&gt;1,"",IF(COUNTIFS('Anomalies'!$C$19:$C$23,"FR0000120073_2026-09-28",'Anomalies'!$D$19:$D$23,"CoursEUR",'Anomalies'!$F$19:$F$23,"OUI")=1,B141,SUMIFS('Marché'!$F$7:$F$106,'Marché'!$C$7:$C$106,B141,'Marché'!$D$7:$D$106,C141)))</x:f>
      </x:c>
      <x:c r="H141" s="30" t="n">
        <x:f>COUNTIFS('Marché'!$C$7:$C$106,B141,'Marché'!$D$7:$D$106,C141)</x:f>
        <x:v>0</x:v>
      </x:c>
      <x:c r="I141" s="32" t="str">
        <x:f>IF(M141="OK",D141*F141,"n.d.")</x:f>
        <x:v>n.d.</x:v>
      </x:c>
      <x:c r="J141" s="30" t="str">
        <x:f>IF(N141=1,SUMIFS('Dépositaire'!$Q$7:$Q$106,'Dépositaire'!$O$7:$O$106,B141,'Dépositaire'!$P$7:$P$106,C141),"n.d.")</x:f>
        <x:v>n.d.</x:v>
      </x:c>
      <x:c r="K141" s="30" t="str">
        <x:f>IF(ISNUMBER(J141),E141-J141,"n.d.")</x:f>
        <x:v>n.d.</x:v>
      </x:c>
      <x:c r="L141" s="37" t="str">
        <x:f>IF(OR(D141&lt;0,E141&lt;0),"Position négative","OK")</x:f>
        <x:v>OK</x:v>
      </x:c>
      <x:c r="M141" s="37" t="str">
        <x:f>IF(COUNTIFS('Marché'!$B$7:$B$106,"FR0000120073_2026-09-28")&lt;&gt;1,"Clé cours absente/dupliquée",IF(H141&lt;&gt;1,"Cours absent ou dupliqué",IF(NOT(ISNUMBER(F141)),"Cours invalide",IF(F141&lt;=0,"Cours invalide",IF(G141&lt;&gt;B141,"Cours périmé","OK")))))</x:f>
        <x:v>Clé cours absente/dupliquée</x:v>
      </x:c>
      <x:c r="N141" s="30" t="n">
        <x:f>COUNTIFS('Dépositaire'!$O$7:$O$106,B141,'Dépositaire'!$P$7:$P$106,C141)</x:f>
        <x:v>0</x:v>
      </x:c>
      <x:c r="O141" s="30"/>
      <x:c r="P141" s="30"/>
      <x:c r="Q141" s="30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36" t="n">
        <x:v>46293</x:v>
      </x:c>
      <x:c r="C142" s="30" t="str">
        <x:v>FR0000121972</x:v>
      </x:c>
      <x:c r="D142" s="30" t="n">
        <x:f>SUMIFS($M$7:$M$76,$G$7:$G$76,C142,$D$7:$D$76,"&lt;="&amp;B142)</x:f>
        <x:v>425</x:v>
      </x:c>
      <x:c r="E142" s="30" t="n">
        <x:f>SUMIFS($M$7:$M$76,$G$7:$G$76,C142,$D$7:$D$76,"&lt;="&amp;B142,$F$7:$F$76,"&gt;0",$F$7:$F$76,"&lt;="&amp;B142)</x:f>
        <x:v>425</x:v>
      </x:c>
      <x:c r="F142" s="32" t="str">
        <x:f>IF(H142&lt;&gt;1,"n.d.",IF(COUNTIFS('Anomalies'!$C$19:$C$23,"FR0000121972_2026-09-28",'Anomalies'!$D$19:$D$23,"CoursEUR",'Anomalies'!$F$19:$F$23,"OUI")=1,SUMIFS('Anomalies'!$E$19:$E$23,'Anomalies'!$C$19:$C$23,"FR0000121972_2026-09-28",'Anomalies'!$D$19:$D$23,"CoursEUR",'Anomalies'!$F$19:$F$23,"OUI"),SUMIFS('Marché'!$E$7:$E$106,'Marché'!$C$7:$C$106,B142,'Marché'!$D$7:$D$106,C142)))</x:f>
        <x:v>n.d.</x:v>
      </x:c>
      <x:c r="G142" s="36" t="str">
        <x:f>IF(H142&lt;&gt;1,"",IF(COUNTIFS('Anomalies'!$C$19:$C$23,"FR0000121972_2026-09-28",'Anomalies'!$D$19:$D$23,"CoursEUR",'Anomalies'!$F$19:$F$23,"OUI")=1,B142,SUMIFS('Marché'!$F$7:$F$106,'Marché'!$C$7:$C$106,B142,'Marché'!$D$7:$D$106,C142)))</x:f>
      </x:c>
      <x:c r="H142" s="30" t="n">
        <x:f>COUNTIFS('Marché'!$C$7:$C$106,B142,'Marché'!$D$7:$D$106,C142)</x:f>
        <x:v>0</x:v>
      </x:c>
      <x:c r="I142" s="32" t="str">
        <x:f>IF(M142="OK",D142*F142,"n.d.")</x:f>
        <x:v>n.d.</x:v>
      </x:c>
      <x:c r="J142" s="30" t="str">
        <x:f>IF(N142=1,SUMIFS('Dépositaire'!$Q$7:$Q$106,'Dépositaire'!$O$7:$O$106,B142,'Dépositaire'!$P$7:$P$106,C142),"n.d.")</x:f>
        <x:v>n.d.</x:v>
      </x:c>
      <x:c r="K142" s="30" t="str">
        <x:f>IF(ISNUMBER(J142),E142-J142,"n.d.")</x:f>
        <x:v>n.d.</x:v>
      </x:c>
      <x:c r="L142" s="37" t="str">
        <x:f>IF(OR(D142&lt;0,E142&lt;0),"Position négative","OK")</x:f>
        <x:v>OK</x:v>
      </x:c>
      <x:c r="M142" s="37" t="str">
        <x:f>IF(COUNTIFS('Marché'!$B$7:$B$106,"FR0000121972_2026-09-28")&lt;&gt;1,"Clé cours absente/dupliquée",IF(H142&lt;&gt;1,"Cours absent ou dupliqué",IF(NOT(ISNUMBER(F142)),"Cours invalide",IF(F142&lt;=0,"Cours invalide",IF(G142&lt;&gt;B142,"Cours périmé","OK")))))</x:f>
        <x:v>Clé cours absente/dupliquée</x:v>
      </x:c>
      <x:c r="N142" s="30" t="n">
        <x:f>COUNTIFS('Dépositaire'!$O$7:$O$106,B142,'Dépositaire'!$P$7:$P$106,C142)</x:f>
        <x:v>0</x:v>
      </x:c>
      <x:c r="O142" s="30"/>
      <x:c r="P142" s="30"/>
      <x:c r="Q142" s="30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36" t="n">
        <x:v>46293</x:v>
      </x:c>
      <x:c r="C143" s="30" t="str">
        <x:v>FR0000120644</x:v>
      </x:c>
      <x:c r="D143" s="30" t="n">
        <x:f>SUMIFS($M$7:$M$76,$G$7:$G$76,C143,$D$7:$D$76,"&lt;="&amp;B143)</x:f>
        <x:v>1775</x:v>
      </x:c>
      <x:c r="E143" s="30" t="n">
        <x:f>SUMIFS($M$7:$M$76,$G$7:$G$76,C143,$D$7:$D$76,"&lt;="&amp;B143,$F$7:$F$76,"&gt;0",$F$7:$F$76,"&lt;="&amp;B143)</x:f>
        <x:v>1775</x:v>
      </x:c>
      <x:c r="F143" s="32" t="str">
        <x:f>IF(H143&lt;&gt;1,"n.d.",IF(COUNTIFS('Anomalies'!$C$19:$C$23,"FR0000120644_2026-09-28",'Anomalies'!$D$19:$D$23,"CoursEUR",'Anomalies'!$F$19:$F$23,"OUI")=1,SUMIFS('Anomalies'!$E$19:$E$23,'Anomalies'!$C$19:$C$23,"FR0000120644_2026-09-28",'Anomalies'!$D$19:$D$23,"CoursEUR",'Anomalies'!$F$19:$F$23,"OUI"),SUMIFS('Marché'!$E$7:$E$106,'Marché'!$C$7:$C$106,B143,'Marché'!$D$7:$D$106,C143)))</x:f>
        <x:v>n.d.</x:v>
      </x:c>
      <x:c r="G143" s="36" t="str">
        <x:f>IF(H143&lt;&gt;1,"",IF(COUNTIFS('Anomalies'!$C$19:$C$23,"FR0000120644_2026-09-28",'Anomalies'!$D$19:$D$23,"CoursEUR",'Anomalies'!$F$19:$F$23,"OUI")=1,B143,SUMIFS('Marché'!$F$7:$F$106,'Marché'!$C$7:$C$106,B143,'Marché'!$D$7:$D$106,C143)))</x:f>
      </x:c>
      <x:c r="H143" s="30" t="n">
        <x:f>COUNTIFS('Marché'!$C$7:$C$106,B143,'Marché'!$D$7:$D$106,C143)</x:f>
        <x:v>0</x:v>
      </x:c>
      <x:c r="I143" s="32" t="str">
        <x:f>IF(M143="OK",D143*F143,"n.d.")</x:f>
        <x:v>n.d.</x:v>
      </x:c>
      <x:c r="J143" s="30" t="str">
        <x:f>IF(N143=1,SUMIFS('Dépositaire'!$Q$7:$Q$106,'Dépositaire'!$O$7:$O$106,B143,'Dépositaire'!$P$7:$P$106,C143),"n.d.")</x:f>
        <x:v>n.d.</x:v>
      </x:c>
      <x:c r="K143" s="30" t="str">
        <x:f>IF(ISNUMBER(J143),E143-J143,"n.d.")</x:f>
        <x:v>n.d.</x:v>
      </x:c>
      <x:c r="L143" s="37" t="str">
        <x:f>IF(OR(D143&lt;0,E143&lt;0),"Position négative","OK")</x:f>
        <x:v>OK</x:v>
      </x:c>
      <x:c r="M143" s="37" t="str">
        <x:f>IF(COUNTIFS('Marché'!$B$7:$B$106,"FR0000120644_2026-09-28")&lt;&gt;1,"Clé cours absente/dupliquée",IF(H143&lt;&gt;1,"Cours absent ou dupliqué",IF(NOT(ISNUMBER(F143)),"Cours invalide",IF(F143&lt;=0,"Cours invalide",IF(G143&lt;&gt;B143,"Cours périmé","OK")))))</x:f>
        <x:v>Clé cours absente/dupliquée</x:v>
      </x:c>
      <x:c r="N143" s="30" t="n">
        <x:f>COUNTIFS('Dépositaire'!$O$7:$O$106,B143,'Dépositaire'!$P$7:$P$106,C143)</x:f>
        <x:v>0</x:v>
      </x:c>
      <x:c r="O143" s="30"/>
      <x:c r="P143" s="30"/>
      <x:c r="Q143" s="30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36" t="n">
        <x:v>46293</x:v>
      </x:c>
      <x:c r="C144" s="30" t="str">
        <x:v>FR0000125486</x:v>
      </x:c>
      <x:c r="D144" s="30" t="n">
        <x:f>SUMIFS($M$7:$M$76,$G$7:$G$76,C144,$D$7:$D$76,"&lt;="&amp;B144)</x:f>
        <x:v>930</x:v>
      </x:c>
      <x:c r="E144" s="30" t="n">
        <x:f>SUMIFS($M$7:$M$76,$G$7:$G$76,C144,$D$7:$D$76,"&lt;="&amp;B144,$F$7:$F$76,"&gt;0",$F$7:$F$76,"&lt;="&amp;B144)</x:f>
        <x:v>930</x:v>
      </x:c>
      <x:c r="F144" s="32" t="str">
        <x:f>IF(H144&lt;&gt;1,"n.d.",IF(COUNTIFS('Anomalies'!$C$19:$C$23,"FR0000125486_2026-09-28",'Anomalies'!$D$19:$D$23,"CoursEUR",'Anomalies'!$F$19:$F$23,"OUI")=1,SUMIFS('Anomalies'!$E$19:$E$23,'Anomalies'!$C$19:$C$23,"FR0000125486_2026-09-28",'Anomalies'!$D$19:$D$23,"CoursEUR",'Anomalies'!$F$19:$F$23,"OUI"),SUMIFS('Marché'!$E$7:$E$106,'Marché'!$C$7:$C$106,B144,'Marché'!$D$7:$D$106,C144)))</x:f>
        <x:v>n.d.</x:v>
      </x:c>
      <x:c r="G144" s="36" t="str">
        <x:f>IF(H144&lt;&gt;1,"",IF(COUNTIFS('Anomalies'!$C$19:$C$23,"FR0000125486_2026-09-28",'Anomalies'!$D$19:$D$23,"CoursEUR",'Anomalies'!$F$19:$F$23,"OUI")=1,B144,SUMIFS('Marché'!$F$7:$F$106,'Marché'!$C$7:$C$106,B144,'Marché'!$D$7:$D$106,C144)))</x:f>
      </x:c>
      <x:c r="H144" s="30" t="n">
        <x:f>COUNTIFS('Marché'!$C$7:$C$106,B144,'Marché'!$D$7:$D$106,C144)</x:f>
        <x:v>0</x:v>
      </x:c>
      <x:c r="I144" s="32" t="str">
        <x:f>IF(M144="OK",D144*F144,"n.d.")</x:f>
        <x:v>n.d.</x:v>
      </x:c>
      <x:c r="J144" s="30" t="str">
        <x:f>IF(N144=1,SUMIFS('Dépositaire'!$Q$7:$Q$106,'Dépositaire'!$O$7:$O$106,B144,'Dépositaire'!$P$7:$P$106,C144),"n.d.")</x:f>
        <x:v>n.d.</x:v>
      </x:c>
      <x:c r="K144" s="30" t="str">
        <x:f>IF(ISNUMBER(J144),E144-J144,"n.d.")</x:f>
        <x:v>n.d.</x:v>
      </x:c>
      <x:c r="L144" s="37" t="str">
        <x:f>IF(OR(D144&lt;0,E144&lt;0),"Position négative","OK")</x:f>
        <x:v>OK</x:v>
      </x:c>
      <x:c r="M144" s="37" t="str">
        <x:f>IF(COUNTIFS('Marché'!$B$7:$B$106,"FR0000125486_2026-09-28")&lt;&gt;1,"Clé cours absente/dupliquée",IF(H144&lt;&gt;1,"Cours absent ou dupliqué",IF(NOT(ISNUMBER(F144)),"Cours invalide",IF(F144&lt;=0,"Cours invalide",IF(G144&lt;&gt;B144,"Cours périmé","OK")))))</x:f>
        <x:v>Clé cours absente/dupliquée</x:v>
      </x:c>
      <x:c r="N144" s="30" t="n">
        <x:f>COUNTIFS('Dépositaire'!$O$7:$O$106,B144,'Dépositaire'!$P$7:$P$106,C144)</x:f>
        <x:v>0</x:v>
      </x:c>
      <x:c r="O144" s="30"/>
      <x:c r="P144" s="30"/>
      <x:c r="Q144" s="30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36" t="n">
        <x:v>46293</x:v>
      </x:c>
      <x:c r="C145" s="30" t="str">
        <x:v>FR0000120321</x:v>
      </x:c>
      <x:c r="D145" s="30" t="n">
        <x:f>SUMIFS($M$7:$M$76,$G$7:$G$76,C145,$D$7:$D$76,"&lt;="&amp;B145)</x:f>
        <x:v>275</x:v>
      </x:c>
      <x:c r="E145" s="30" t="n">
        <x:f>SUMIFS($M$7:$M$76,$G$7:$G$76,C145,$D$7:$D$76,"&lt;="&amp;B145,$F$7:$F$76,"&gt;0",$F$7:$F$76,"&lt;="&amp;B145)</x:f>
        <x:v>290</x:v>
      </x:c>
      <x:c r="F145" s="32" t="str">
        <x:f>IF(H145&lt;&gt;1,"n.d.",IF(COUNTIFS('Anomalies'!$C$19:$C$23,"FR0000120321_2026-09-28",'Anomalies'!$D$19:$D$23,"CoursEUR",'Anomalies'!$F$19:$F$23,"OUI")=1,SUMIFS('Anomalies'!$E$19:$E$23,'Anomalies'!$C$19:$C$23,"FR0000120321_2026-09-28",'Anomalies'!$D$19:$D$23,"CoursEUR",'Anomalies'!$F$19:$F$23,"OUI"),SUMIFS('Marché'!$E$7:$E$106,'Marché'!$C$7:$C$106,B145,'Marché'!$D$7:$D$106,C145)))</x:f>
        <x:v>n.d.</x:v>
      </x:c>
      <x:c r="G145" s="36" t="str">
        <x:f>IF(H145&lt;&gt;1,"",IF(COUNTIFS('Anomalies'!$C$19:$C$23,"FR0000120321_2026-09-28",'Anomalies'!$D$19:$D$23,"CoursEUR",'Anomalies'!$F$19:$F$23,"OUI")=1,B145,SUMIFS('Marché'!$F$7:$F$106,'Marché'!$C$7:$C$106,B145,'Marché'!$D$7:$D$106,C145)))</x:f>
      </x:c>
      <x:c r="H145" s="30" t="n">
        <x:f>COUNTIFS('Marché'!$C$7:$C$106,B145,'Marché'!$D$7:$D$106,C145)</x:f>
        <x:v>0</x:v>
      </x:c>
      <x:c r="I145" s="32" t="str">
        <x:f>IF(M145="OK",D145*F145,"n.d.")</x:f>
        <x:v>n.d.</x:v>
      </x:c>
      <x:c r="J145" s="30" t="str">
        <x:f>IF(N145=1,SUMIFS('Dépositaire'!$Q$7:$Q$106,'Dépositaire'!$O$7:$O$106,B145,'Dépositaire'!$P$7:$P$106,C145),"n.d.")</x:f>
        <x:v>n.d.</x:v>
      </x:c>
      <x:c r="K145" s="30" t="str">
        <x:f>IF(ISNUMBER(J145),E145-J145,"n.d.")</x:f>
        <x:v>n.d.</x:v>
      </x:c>
      <x:c r="L145" s="37" t="str">
        <x:f>IF(OR(D145&lt;0,E145&lt;0),"Position négative","OK")</x:f>
        <x:v>OK</x:v>
      </x:c>
      <x:c r="M145" s="37" t="str">
        <x:f>IF(COUNTIFS('Marché'!$B$7:$B$106,"FR0000120321_2026-09-28")&lt;&gt;1,"Clé cours absente/dupliquée",IF(H145&lt;&gt;1,"Cours absent ou dupliqué",IF(NOT(ISNUMBER(F145)),"Cours invalide",IF(F145&lt;=0,"Cours invalide",IF(G145&lt;&gt;B145,"Cours périmé","OK")))))</x:f>
        <x:v>Clé cours absente/dupliquée</x:v>
      </x:c>
      <x:c r="N145" s="30" t="n">
        <x:f>COUNTIFS('Dépositaire'!$O$7:$O$106,B145,'Dépositaire'!$P$7:$P$106,C145)</x:f>
        <x:v>0</x:v>
      </x:c>
      <x:c r="O145" s="30"/>
      <x:c r="P145" s="30"/>
      <x:c r="Q145" s="30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36" t="n">
        <x:v>46294</x:v>
      </x:c>
      <x:c r="C146" s="30" t="str">
        <x:v>FR0000120073</x:v>
      </x:c>
      <x:c r="D146" s="30" t="n">
        <x:f>SUMIFS($M$7:$M$76,$G$7:$G$76,C146,$D$7:$D$76,"&lt;="&amp;B146)</x:f>
        <x:v>720</x:v>
      </x:c>
      <x:c r="E146" s="30" t="n">
        <x:f>SUMIFS($M$7:$M$76,$G$7:$G$76,C146,$D$7:$D$76,"&lt;="&amp;B146,$F$7:$F$76,"&gt;0",$F$7:$F$76,"&lt;="&amp;B146)</x:f>
        <x:v>720</x:v>
      </x:c>
      <x:c r="F146" s="32" t="str">
        <x:f>IF(H146&lt;&gt;1,"n.d.",IF(COUNTIFS('Anomalies'!$C$19:$C$23,"FR0000120073_2026-09-29",'Anomalies'!$D$19:$D$23,"CoursEUR",'Anomalies'!$F$19:$F$23,"OUI")=1,SUMIFS('Anomalies'!$E$19:$E$23,'Anomalies'!$C$19:$C$23,"FR0000120073_2026-09-29",'Anomalies'!$D$19:$D$23,"CoursEUR",'Anomalies'!$F$19:$F$23,"OUI"),SUMIFS('Marché'!$E$7:$E$106,'Marché'!$C$7:$C$106,B146,'Marché'!$D$7:$D$106,C146)))</x:f>
        <x:v>n.d.</x:v>
      </x:c>
      <x:c r="G146" s="36" t="str">
        <x:f>IF(H146&lt;&gt;1,"",IF(COUNTIFS('Anomalies'!$C$19:$C$23,"FR0000120073_2026-09-29",'Anomalies'!$D$19:$D$23,"CoursEUR",'Anomalies'!$F$19:$F$23,"OUI")=1,B146,SUMIFS('Marché'!$F$7:$F$106,'Marché'!$C$7:$C$106,B146,'Marché'!$D$7:$D$106,C146)))</x:f>
      </x:c>
      <x:c r="H146" s="30" t="n">
        <x:f>COUNTIFS('Marché'!$C$7:$C$106,B146,'Marché'!$D$7:$D$106,C146)</x:f>
        <x:v>0</x:v>
      </x:c>
      <x:c r="I146" s="32" t="str">
        <x:f>IF(M146="OK",D146*F146,"n.d.")</x:f>
        <x:v>n.d.</x:v>
      </x:c>
      <x:c r="J146" s="30" t="str">
        <x:f>IF(N146=1,SUMIFS('Dépositaire'!$Q$7:$Q$106,'Dépositaire'!$O$7:$O$106,B146,'Dépositaire'!$P$7:$P$106,C146),"n.d.")</x:f>
        <x:v>n.d.</x:v>
      </x:c>
      <x:c r="K146" s="30" t="str">
        <x:f>IF(ISNUMBER(J146),E146-J146,"n.d.")</x:f>
        <x:v>n.d.</x:v>
      </x:c>
      <x:c r="L146" s="37" t="str">
        <x:f>IF(OR(D146&lt;0,E146&lt;0),"Position négative","OK")</x:f>
        <x:v>OK</x:v>
      </x:c>
      <x:c r="M146" s="37" t="str">
        <x:f>IF(COUNTIFS('Marché'!$B$7:$B$106,"FR0000120073_2026-09-29")&lt;&gt;1,"Clé cours absente/dupliquée",IF(H146&lt;&gt;1,"Cours absent ou dupliqué",IF(NOT(ISNUMBER(F146)),"Cours invalide",IF(F146&lt;=0,"Cours invalide",IF(G146&lt;&gt;B146,"Cours périmé","OK")))))</x:f>
        <x:v>Clé cours absente/dupliquée</x:v>
      </x:c>
      <x:c r="N146" s="30" t="n">
        <x:f>COUNTIFS('Dépositaire'!$O$7:$O$106,B146,'Dépositaire'!$P$7:$P$106,C146)</x:f>
        <x:v>0</x:v>
      </x:c>
      <x:c r="O146" s="30"/>
      <x:c r="P146" s="30"/>
      <x:c r="Q146" s="30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36" t="n">
        <x:v>46294</x:v>
      </x:c>
      <x:c r="C147" s="30" t="str">
        <x:v>FR0000121972</x:v>
      </x:c>
      <x:c r="D147" s="30" t="n">
        <x:f>SUMIFS($M$7:$M$76,$G$7:$G$76,C147,$D$7:$D$76,"&lt;="&amp;B147)</x:f>
        <x:v>425</x:v>
      </x:c>
      <x:c r="E147" s="30" t="n">
        <x:f>SUMIFS($M$7:$M$76,$G$7:$G$76,C147,$D$7:$D$76,"&lt;="&amp;B147,$F$7:$F$76,"&gt;0",$F$7:$F$76,"&lt;="&amp;B147)</x:f>
        <x:v>425</x:v>
      </x:c>
      <x:c r="F147" s="32" t="str">
        <x:f>IF(H147&lt;&gt;1,"n.d.",IF(COUNTIFS('Anomalies'!$C$19:$C$23,"FR0000121972_2026-09-29",'Anomalies'!$D$19:$D$23,"CoursEUR",'Anomalies'!$F$19:$F$23,"OUI")=1,SUMIFS('Anomalies'!$E$19:$E$23,'Anomalies'!$C$19:$C$23,"FR0000121972_2026-09-29",'Anomalies'!$D$19:$D$23,"CoursEUR",'Anomalies'!$F$19:$F$23,"OUI"),SUMIFS('Marché'!$E$7:$E$106,'Marché'!$C$7:$C$106,B147,'Marché'!$D$7:$D$106,C147)))</x:f>
        <x:v>n.d.</x:v>
      </x:c>
      <x:c r="G147" s="36" t="str">
        <x:f>IF(H147&lt;&gt;1,"",IF(COUNTIFS('Anomalies'!$C$19:$C$23,"FR0000121972_2026-09-29",'Anomalies'!$D$19:$D$23,"CoursEUR",'Anomalies'!$F$19:$F$23,"OUI")=1,B147,SUMIFS('Marché'!$F$7:$F$106,'Marché'!$C$7:$C$106,B147,'Marché'!$D$7:$D$106,C147)))</x:f>
      </x:c>
      <x:c r="H147" s="30" t="n">
        <x:f>COUNTIFS('Marché'!$C$7:$C$106,B147,'Marché'!$D$7:$D$106,C147)</x:f>
        <x:v>0</x:v>
      </x:c>
      <x:c r="I147" s="32" t="str">
        <x:f>IF(M147="OK",D147*F147,"n.d.")</x:f>
        <x:v>n.d.</x:v>
      </x:c>
      <x:c r="J147" s="30" t="str">
        <x:f>IF(N147=1,SUMIFS('Dépositaire'!$Q$7:$Q$106,'Dépositaire'!$O$7:$O$106,B147,'Dépositaire'!$P$7:$P$106,C147),"n.d.")</x:f>
        <x:v>n.d.</x:v>
      </x:c>
      <x:c r="K147" s="30" t="str">
        <x:f>IF(ISNUMBER(J147),E147-J147,"n.d.")</x:f>
        <x:v>n.d.</x:v>
      </x:c>
      <x:c r="L147" s="37" t="str">
        <x:f>IF(OR(D147&lt;0,E147&lt;0),"Position négative","OK")</x:f>
        <x:v>OK</x:v>
      </x:c>
      <x:c r="M147" s="37" t="str">
        <x:f>IF(COUNTIFS('Marché'!$B$7:$B$106,"FR0000121972_2026-09-29")&lt;&gt;1,"Clé cours absente/dupliquée",IF(H147&lt;&gt;1,"Cours absent ou dupliqué",IF(NOT(ISNUMBER(F147)),"Cours invalide",IF(F147&lt;=0,"Cours invalide",IF(G147&lt;&gt;B147,"Cours périmé","OK")))))</x:f>
        <x:v>Clé cours absente/dupliquée</x:v>
      </x:c>
      <x:c r="N147" s="30" t="n">
        <x:f>COUNTIFS('Dépositaire'!$O$7:$O$106,B147,'Dépositaire'!$P$7:$P$106,C147)</x:f>
        <x:v>0</x:v>
      </x:c>
      <x:c r="O147" s="30"/>
      <x:c r="P147" s="30"/>
      <x:c r="Q147" s="30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36" t="n">
        <x:v>46294</x:v>
      </x:c>
      <x:c r="C148" s="30" t="str">
        <x:v>FR0000120644</x:v>
      </x:c>
      <x:c r="D148" s="30" t="n">
        <x:f>SUMIFS($M$7:$M$76,$G$7:$G$76,C148,$D$7:$D$76,"&lt;="&amp;B148)</x:f>
        <x:v>1775</x:v>
      </x:c>
      <x:c r="E148" s="30" t="n">
        <x:f>SUMIFS($M$7:$M$76,$G$7:$G$76,C148,$D$7:$D$76,"&lt;="&amp;B148,$F$7:$F$76,"&gt;0",$F$7:$F$76,"&lt;="&amp;B148)</x:f>
        <x:v>1775</x:v>
      </x:c>
      <x:c r="F148" s="32" t="str">
        <x:f>IF(H148&lt;&gt;1,"n.d.",IF(COUNTIFS('Anomalies'!$C$19:$C$23,"FR0000120644_2026-09-29",'Anomalies'!$D$19:$D$23,"CoursEUR",'Anomalies'!$F$19:$F$23,"OUI")=1,SUMIFS('Anomalies'!$E$19:$E$23,'Anomalies'!$C$19:$C$23,"FR0000120644_2026-09-29",'Anomalies'!$D$19:$D$23,"CoursEUR",'Anomalies'!$F$19:$F$23,"OUI"),SUMIFS('Marché'!$E$7:$E$106,'Marché'!$C$7:$C$106,B148,'Marché'!$D$7:$D$106,C148)))</x:f>
        <x:v>n.d.</x:v>
      </x:c>
      <x:c r="G148" s="36" t="str">
        <x:f>IF(H148&lt;&gt;1,"",IF(COUNTIFS('Anomalies'!$C$19:$C$23,"FR0000120644_2026-09-29",'Anomalies'!$D$19:$D$23,"CoursEUR",'Anomalies'!$F$19:$F$23,"OUI")=1,B148,SUMIFS('Marché'!$F$7:$F$106,'Marché'!$C$7:$C$106,B148,'Marché'!$D$7:$D$106,C148)))</x:f>
      </x:c>
      <x:c r="H148" s="30" t="n">
        <x:f>COUNTIFS('Marché'!$C$7:$C$106,B148,'Marché'!$D$7:$D$106,C148)</x:f>
        <x:v>0</x:v>
      </x:c>
      <x:c r="I148" s="32" t="str">
        <x:f>IF(M148="OK",D148*F148,"n.d.")</x:f>
        <x:v>n.d.</x:v>
      </x:c>
      <x:c r="J148" s="30" t="str">
        <x:f>IF(N148=1,SUMIFS('Dépositaire'!$Q$7:$Q$106,'Dépositaire'!$O$7:$O$106,B148,'Dépositaire'!$P$7:$P$106,C148),"n.d.")</x:f>
        <x:v>n.d.</x:v>
      </x:c>
      <x:c r="K148" s="30" t="str">
        <x:f>IF(ISNUMBER(J148),E148-J148,"n.d.")</x:f>
        <x:v>n.d.</x:v>
      </x:c>
      <x:c r="L148" s="37" t="str">
        <x:f>IF(OR(D148&lt;0,E148&lt;0),"Position négative","OK")</x:f>
        <x:v>OK</x:v>
      </x:c>
      <x:c r="M148" s="37" t="str">
        <x:f>IF(COUNTIFS('Marché'!$B$7:$B$106,"FR0000120644_2026-09-29")&lt;&gt;1,"Clé cours absente/dupliquée",IF(H148&lt;&gt;1,"Cours absent ou dupliqué",IF(NOT(ISNUMBER(F148)),"Cours invalide",IF(F148&lt;=0,"Cours invalide",IF(G148&lt;&gt;B148,"Cours périmé","OK")))))</x:f>
        <x:v>Clé cours absente/dupliquée</x:v>
      </x:c>
      <x:c r="N148" s="30" t="n">
        <x:f>COUNTIFS('Dépositaire'!$O$7:$O$106,B148,'Dépositaire'!$P$7:$P$106,C148)</x:f>
        <x:v>0</x:v>
      </x:c>
      <x:c r="O148" s="30"/>
      <x:c r="P148" s="30"/>
      <x:c r="Q148" s="30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36" t="n">
        <x:v>46294</x:v>
      </x:c>
      <x:c r="C149" s="30" t="str">
        <x:v>FR0000125486</x:v>
      </x:c>
      <x:c r="D149" s="30" t="n">
        <x:f>SUMIFS($M$7:$M$76,$G$7:$G$76,C149,$D$7:$D$76,"&lt;="&amp;B149)</x:f>
        <x:v>930</x:v>
      </x:c>
      <x:c r="E149" s="30" t="n">
        <x:f>SUMIFS($M$7:$M$76,$G$7:$G$76,C149,$D$7:$D$76,"&lt;="&amp;B149,$F$7:$F$76,"&gt;0",$F$7:$F$76,"&lt;="&amp;B149)</x:f>
        <x:v>930</x:v>
      </x:c>
      <x:c r="F149" s="32" t="str">
        <x:f>IF(H149&lt;&gt;1,"n.d.",IF(COUNTIFS('Anomalies'!$C$19:$C$23,"FR0000125486_2026-09-29",'Anomalies'!$D$19:$D$23,"CoursEUR",'Anomalies'!$F$19:$F$23,"OUI")=1,SUMIFS('Anomalies'!$E$19:$E$23,'Anomalies'!$C$19:$C$23,"FR0000125486_2026-09-29",'Anomalies'!$D$19:$D$23,"CoursEUR",'Anomalies'!$F$19:$F$23,"OUI"),SUMIFS('Marché'!$E$7:$E$106,'Marché'!$C$7:$C$106,B149,'Marché'!$D$7:$D$106,C149)))</x:f>
        <x:v>n.d.</x:v>
      </x:c>
      <x:c r="G149" s="36" t="str">
        <x:f>IF(H149&lt;&gt;1,"",IF(COUNTIFS('Anomalies'!$C$19:$C$23,"FR0000125486_2026-09-29",'Anomalies'!$D$19:$D$23,"CoursEUR",'Anomalies'!$F$19:$F$23,"OUI")=1,B149,SUMIFS('Marché'!$F$7:$F$106,'Marché'!$C$7:$C$106,B149,'Marché'!$D$7:$D$106,C149)))</x:f>
      </x:c>
      <x:c r="H149" s="30" t="n">
        <x:f>COUNTIFS('Marché'!$C$7:$C$106,B149,'Marché'!$D$7:$D$106,C149)</x:f>
        <x:v>0</x:v>
      </x:c>
      <x:c r="I149" s="32" t="str">
        <x:f>IF(M149="OK",D149*F149,"n.d.")</x:f>
        <x:v>n.d.</x:v>
      </x:c>
      <x:c r="J149" s="30" t="str">
        <x:f>IF(N149=1,SUMIFS('Dépositaire'!$Q$7:$Q$106,'Dépositaire'!$O$7:$O$106,B149,'Dépositaire'!$P$7:$P$106,C149),"n.d.")</x:f>
        <x:v>n.d.</x:v>
      </x:c>
      <x:c r="K149" s="30" t="str">
        <x:f>IF(ISNUMBER(J149),E149-J149,"n.d.")</x:f>
        <x:v>n.d.</x:v>
      </x:c>
      <x:c r="L149" s="37" t="str">
        <x:f>IF(OR(D149&lt;0,E149&lt;0),"Position négative","OK")</x:f>
        <x:v>OK</x:v>
      </x:c>
      <x:c r="M149" s="37" t="str">
        <x:f>IF(COUNTIFS('Marché'!$B$7:$B$106,"FR0000125486_2026-09-29")&lt;&gt;1,"Clé cours absente/dupliquée",IF(H149&lt;&gt;1,"Cours absent ou dupliqué",IF(NOT(ISNUMBER(F149)),"Cours invalide",IF(F149&lt;=0,"Cours invalide",IF(G149&lt;&gt;B149,"Cours périmé","OK")))))</x:f>
        <x:v>Clé cours absente/dupliquée</x:v>
      </x:c>
      <x:c r="N149" s="30" t="n">
        <x:f>COUNTIFS('Dépositaire'!$O$7:$O$106,B149,'Dépositaire'!$P$7:$P$106,C149)</x:f>
        <x:v>0</x:v>
      </x:c>
      <x:c r="O149" s="30"/>
      <x:c r="P149" s="30"/>
      <x:c r="Q149" s="30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36" t="n">
        <x:v>46294</x:v>
      </x:c>
      <x:c r="C150" s="30" t="str">
        <x:v>FR0000120321</x:v>
      </x:c>
      <x:c r="D150" s="30" t="n">
        <x:f>SUMIFS($M$7:$M$76,$G$7:$G$76,C150,$D$7:$D$76,"&lt;="&amp;B150)</x:f>
        <x:v>275</x:v>
      </x:c>
      <x:c r="E150" s="30" t="n">
        <x:f>SUMIFS($M$7:$M$76,$G$7:$G$76,C150,$D$7:$D$76,"&lt;="&amp;B150,$F$7:$F$76,"&gt;0",$F$7:$F$76,"&lt;="&amp;B150)</x:f>
        <x:v>275</x:v>
      </x:c>
      <x:c r="F150" s="32" t="str">
        <x:f>IF(H150&lt;&gt;1,"n.d.",IF(COUNTIFS('Anomalies'!$C$19:$C$23,"FR0000120321_2026-09-29",'Anomalies'!$D$19:$D$23,"CoursEUR",'Anomalies'!$F$19:$F$23,"OUI")=1,SUMIFS('Anomalies'!$E$19:$E$23,'Anomalies'!$C$19:$C$23,"FR0000120321_2026-09-29",'Anomalies'!$D$19:$D$23,"CoursEUR",'Anomalies'!$F$19:$F$23,"OUI"),SUMIFS('Marché'!$E$7:$E$106,'Marché'!$C$7:$C$106,B150,'Marché'!$D$7:$D$106,C150)))</x:f>
        <x:v>n.d.</x:v>
      </x:c>
      <x:c r="G150" s="36" t="str">
        <x:f>IF(H150&lt;&gt;1,"",IF(COUNTIFS('Anomalies'!$C$19:$C$23,"FR0000120321_2026-09-29",'Anomalies'!$D$19:$D$23,"CoursEUR",'Anomalies'!$F$19:$F$23,"OUI")=1,B150,SUMIFS('Marché'!$F$7:$F$106,'Marché'!$C$7:$C$106,B150,'Marché'!$D$7:$D$106,C150)))</x:f>
      </x:c>
      <x:c r="H150" s="30" t="n">
        <x:f>COUNTIFS('Marché'!$C$7:$C$106,B150,'Marché'!$D$7:$D$106,C150)</x:f>
        <x:v>0</x:v>
      </x:c>
      <x:c r="I150" s="32" t="str">
        <x:f>IF(M150="OK",D150*F150,"n.d.")</x:f>
        <x:v>n.d.</x:v>
      </x:c>
      <x:c r="J150" s="30" t="str">
        <x:f>IF(N150=1,SUMIFS('Dépositaire'!$Q$7:$Q$106,'Dépositaire'!$O$7:$O$106,B150,'Dépositaire'!$P$7:$P$106,C150),"n.d.")</x:f>
        <x:v>n.d.</x:v>
      </x:c>
      <x:c r="K150" s="30" t="str">
        <x:f>IF(ISNUMBER(J150),E150-J150,"n.d.")</x:f>
        <x:v>n.d.</x:v>
      </x:c>
      <x:c r="L150" s="37" t="str">
        <x:f>IF(OR(D150&lt;0,E150&lt;0),"Position négative","OK")</x:f>
        <x:v>OK</x:v>
      </x:c>
      <x:c r="M150" s="37" t="str">
        <x:f>IF(COUNTIFS('Marché'!$B$7:$B$106,"FR0000120321_2026-09-29")&lt;&gt;1,"Clé cours absente/dupliquée",IF(H150&lt;&gt;1,"Cours absent ou dupliqué",IF(NOT(ISNUMBER(F150)),"Cours invalide",IF(F150&lt;=0,"Cours invalide",IF(G150&lt;&gt;B150,"Cours périmé","OK")))))</x:f>
        <x:v>Clé cours absente/dupliquée</x:v>
      </x:c>
      <x:c r="N150" s="30" t="n">
        <x:f>COUNTIFS('Dépositaire'!$O$7:$O$106,B150,'Dépositaire'!$P$7:$P$106,C150)</x:f>
        <x:v>0</x:v>
      </x:c>
      <x:c r="O150" s="30"/>
      <x:c r="P150" s="30"/>
      <x:c r="Q150" s="30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36" t="n">
        <x:v>46295</x:v>
      </x:c>
      <x:c r="C151" s="30" t="str">
        <x:v>FR0000120073</x:v>
      </x:c>
      <x:c r="D151" s="30" t="n">
        <x:f>SUMIFS($M$7:$M$76,$G$7:$G$76,C151,$D$7:$D$76,"&lt;="&amp;B151)</x:f>
        <x:v>720</x:v>
      </x:c>
      <x:c r="E151" s="30" t="n">
        <x:f>SUMIFS($M$7:$M$76,$G$7:$G$76,C151,$D$7:$D$76,"&lt;="&amp;B151,$F$7:$F$76,"&gt;0",$F$7:$F$76,"&lt;="&amp;B151)</x:f>
        <x:v>720</x:v>
      </x:c>
      <x:c r="F151" s="32" t="str">
        <x:f>IF(H151&lt;&gt;1,"n.d.",IF(COUNTIFS('Anomalies'!$C$19:$C$23,"FR0000120073_2026-09-30",'Anomalies'!$D$19:$D$23,"CoursEUR",'Anomalies'!$F$19:$F$23,"OUI")=1,SUMIFS('Anomalies'!$E$19:$E$23,'Anomalies'!$C$19:$C$23,"FR0000120073_2026-09-30",'Anomalies'!$D$19:$D$23,"CoursEUR",'Anomalies'!$F$19:$F$23,"OUI"),SUMIFS('Marché'!$E$7:$E$106,'Marché'!$C$7:$C$106,B151,'Marché'!$D$7:$D$106,C151)))</x:f>
        <x:v>n.d.</x:v>
      </x:c>
      <x:c r="G151" s="36" t="str">
        <x:f>IF(H151&lt;&gt;1,"",IF(COUNTIFS('Anomalies'!$C$19:$C$23,"FR0000120073_2026-09-30",'Anomalies'!$D$19:$D$23,"CoursEUR",'Anomalies'!$F$19:$F$23,"OUI")=1,B151,SUMIFS('Marché'!$F$7:$F$106,'Marché'!$C$7:$C$106,B151,'Marché'!$D$7:$D$106,C151)))</x:f>
      </x:c>
      <x:c r="H151" s="30" t="n">
        <x:f>COUNTIFS('Marché'!$C$7:$C$106,B151,'Marché'!$D$7:$D$106,C151)</x:f>
        <x:v>0</x:v>
      </x:c>
      <x:c r="I151" s="32" t="str">
        <x:f>IF(M151="OK",D151*F151,"n.d.")</x:f>
        <x:v>n.d.</x:v>
      </x:c>
      <x:c r="J151" s="30" t="str">
        <x:f>IF(N151=1,SUMIFS('Dépositaire'!$Q$7:$Q$106,'Dépositaire'!$O$7:$O$106,B151,'Dépositaire'!$P$7:$P$106,C151),"n.d.")</x:f>
        <x:v>n.d.</x:v>
      </x:c>
      <x:c r="K151" s="30" t="str">
        <x:f>IF(ISNUMBER(J151),E151-J151,"n.d.")</x:f>
        <x:v>n.d.</x:v>
      </x:c>
      <x:c r="L151" s="37" t="str">
        <x:f>IF(OR(D151&lt;0,E151&lt;0),"Position négative","OK")</x:f>
        <x:v>OK</x:v>
      </x:c>
      <x:c r="M151" s="37" t="str">
        <x:f>IF(COUNTIFS('Marché'!$B$7:$B$106,"FR0000120073_2026-09-30")&lt;&gt;1,"Clé cours absente/dupliquée",IF(H151&lt;&gt;1,"Cours absent ou dupliqué",IF(NOT(ISNUMBER(F151)),"Cours invalide",IF(F151&lt;=0,"Cours invalide",IF(G151&lt;&gt;B151,"Cours périmé","OK")))))</x:f>
        <x:v>Clé cours absente/dupliquée</x:v>
      </x:c>
      <x:c r="N151" s="30" t="n">
        <x:f>COUNTIFS('Dépositaire'!$O$7:$O$106,B151,'Dépositaire'!$P$7:$P$106,C151)</x:f>
        <x:v>0</x:v>
      </x:c>
      <x:c r="O151" s="30"/>
      <x:c r="P151" s="30"/>
      <x:c r="Q151" s="30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36" t="n">
        <x:v>46295</x:v>
      </x:c>
      <x:c r="C152" s="30" t="str">
        <x:v>FR0000121972</x:v>
      </x:c>
      <x:c r="D152" s="30" t="n">
        <x:f>SUMIFS($M$7:$M$76,$G$7:$G$76,C152,$D$7:$D$76,"&lt;="&amp;B152)</x:f>
        <x:v>425</x:v>
      </x:c>
      <x:c r="E152" s="30" t="n">
        <x:f>SUMIFS($M$7:$M$76,$G$7:$G$76,C152,$D$7:$D$76,"&lt;="&amp;B152,$F$7:$F$76,"&gt;0",$F$7:$F$76,"&lt;="&amp;B152)</x:f>
        <x:v>425</x:v>
      </x:c>
      <x:c r="F152" s="32" t="str">
        <x:f>IF(H152&lt;&gt;1,"n.d.",IF(COUNTIFS('Anomalies'!$C$19:$C$23,"FR0000121972_2026-09-30",'Anomalies'!$D$19:$D$23,"CoursEUR",'Anomalies'!$F$19:$F$23,"OUI")=1,SUMIFS('Anomalies'!$E$19:$E$23,'Anomalies'!$C$19:$C$23,"FR0000121972_2026-09-30",'Anomalies'!$D$19:$D$23,"CoursEUR",'Anomalies'!$F$19:$F$23,"OUI"),SUMIFS('Marché'!$E$7:$E$106,'Marché'!$C$7:$C$106,B152,'Marché'!$D$7:$D$106,C152)))</x:f>
        <x:v>n.d.</x:v>
      </x:c>
      <x:c r="G152" s="36" t="str">
        <x:f>IF(H152&lt;&gt;1,"",IF(COUNTIFS('Anomalies'!$C$19:$C$23,"FR0000121972_2026-09-30",'Anomalies'!$D$19:$D$23,"CoursEUR",'Anomalies'!$F$19:$F$23,"OUI")=1,B152,SUMIFS('Marché'!$F$7:$F$106,'Marché'!$C$7:$C$106,B152,'Marché'!$D$7:$D$106,C152)))</x:f>
      </x:c>
      <x:c r="H152" s="30" t="n">
        <x:f>COUNTIFS('Marché'!$C$7:$C$106,B152,'Marché'!$D$7:$D$106,C152)</x:f>
        <x:v>0</x:v>
      </x:c>
      <x:c r="I152" s="32" t="str">
        <x:f>IF(M152="OK",D152*F152,"n.d.")</x:f>
        <x:v>n.d.</x:v>
      </x:c>
      <x:c r="J152" s="30" t="str">
        <x:f>IF(N152=1,SUMIFS('Dépositaire'!$Q$7:$Q$106,'Dépositaire'!$O$7:$O$106,B152,'Dépositaire'!$P$7:$P$106,C152),"n.d.")</x:f>
        <x:v>n.d.</x:v>
      </x:c>
      <x:c r="K152" s="30" t="str">
        <x:f>IF(ISNUMBER(J152),E152-J152,"n.d.")</x:f>
        <x:v>n.d.</x:v>
      </x:c>
      <x:c r="L152" s="37" t="str">
        <x:f>IF(OR(D152&lt;0,E152&lt;0),"Position négative","OK")</x:f>
        <x:v>OK</x:v>
      </x:c>
      <x:c r="M152" s="37" t="str">
        <x:f>IF(COUNTIFS('Marché'!$B$7:$B$106,"FR0000121972_2026-09-30")&lt;&gt;1,"Clé cours absente/dupliquée",IF(H152&lt;&gt;1,"Cours absent ou dupliqué",IF(NOT(ISNUMBER(F152)),"Cours invalide",IF(F152&lt;=0,"Cours invalide",IF(G152&lt;&gt;B152,"Cours périmé","OK")))))</x:f>
        <x:v>Clé cours absente/dupliquée</x:v>
      </x:c>
      <x:c r="N152" s="30" t="n">
        <x:f>COUNTIFS('Dépositaire'!$O$7:$O$106,B152,'Dépositaire'!$P$7:$P$106,C152)</x:f>
        <x:v>0</x:v>
      </x:c>
      <x:c r="O152" s="30"/>
      <x:c r="P152" s="30"/>
      <x:c r="Q152" s="30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36" t="n">
        <x:v>46295</x:v>
      </x:c>
      <x:c r="C153" s="30" t="str">
        <x:v>FR0000120644</x:v>
      </x:c>
      <x:c r="D153" s="30" t="n">
        <x:f>SUMIFS($M$7:$M$76,$G$7:$G$76,C153,$D$7:$D$76,"&lt;="&amp;B153)</x:f>
        <x:v>1775</x:v>
      </x:c>
      <x:c r="E153" s="30" t="n">
        <x:f>SUMIFS($M$7:$M$76,$G$7:$G$76,C153,$D$7:$D$76,"&lt;="&amp;B153,$F$7:$F$76,"&gt;0",$F$7:$F$76,"&lt;="&amp;B153)</x:f>
        <x:v>1775</x:v>
      </x:c>
      <x:c r="F153" s="32" t="str">
        <x:f>IF(H153&lt;&gt;1,"n.d.",IF(COUNTIFS('Anomalies'!$C$19:$C$23,"FR0000120644_2026-09-30",'Anomalies'!$D$19:$D$23,"CoursEUR",'Anomalies'!$F$19:$F$23,"OUI")=1,SUMIFS('Anomalies'!$E$19:$E$23,'Anomalies'!$C$19:$C$23,"FR0000120644_2026-09-30",'Anomalies'!$D$19:$D$23,"CoursEUR",'Anomalies'!$F$19:$F$23,"OUI"),SUMIFS('Marché'!$E$7:$E$106,'Marché'!$C$7:$C$106,B153,'Marché'!$D$7:$D$106,C153)))</x:f>
        <x:v>n.d.</x:v>
      </x:c>
      <x:c r="G153" s="36" t="str">
        <x:f>IF(H153&lt;&gt;1,"",IF(COUNTIFS('Anomalies'!$C$19:$C$23,"FR0000120644_2026-09-30",'Anomalies'!$D$19:$D$23,"CoursEUR",'Anomalies'!$F$19:$F$23,"OUI")=1,B153,SUMIFS('Marché'!$F$7:$F$106,'Marché'!$C$7:$C$106,B153,'Marché'!$D$7:$D$106,C153)))</x:f>
      </x:c>
      <x:c r="H153" s="30" t="n">
        <x:f>COUNTIFS('Marché'!$C$7:$C$106,B153,'Marché'!$D$7:$D$106,C153)</x:f>
        <x:v>0</x:v>
      </x:c>
      <x:c r="I153" s="32" t="str">
        <x:f>IF(M153="OK",D153*F153,"n.d.")</x:f>
        <x:v>n.d.</x:v>
      </x:c>
      <x:c r="J153" s="30" t="str">
        <x:f>IF(N153=1,SUMIFS('Dépositaire'!$Q$7:$Q$106,'Dépositaire'!$O$7:$O$106,B153,'Dépositaire'!$P$7:$P$106,C153),"n.d.")</x:f>
        <x:v>n.d.</x:v>
      </x:c>
      <x:c r="K153" s="30" t="str">
        <x:f>IF(ISNUMBER(J153),E153-J153,"n.d.")</x:f>
        <x:v>n.d.</x:v>
      </x:c>
      <x:c r="L153" s="37" t="str">
        <x:f>IF(OR(D153&lt;0,E153&lt;0),"Position négative","OK")</x:f>
        <x:v>OK</x:v>
      </x:c>
      <x:c r="M153" s="37" t="str">
        <x:f>IF(COUNTIFS('Marché'!$B$7:$B$106,"FR0000120644_2026-09-30")&lt;&gt;1,"Clé cours absente/dupliquée",IF(H153&lt;&gt;1,"Cours absent ou dupliqué",IF(NOT(ISNUMBER(F153)),"Cours invalide",IF(F153&lt;=0,"Cours invalide",IF(G153&lt;&gt;B153,"Cours périmé","OK")))))</x:f>
        <x:v>Clé cours absente/dupliquée</x:v>
      </x:c>
      <x:c r="N153" s="30" t="n">
        <x:f>COUNTIFS('Dépositaire'!$O$7:$O$106,B153,'Dépositaire'!$P$7:$P$106,C153)</x:f>
        <x:v>0</x:v>
      </x:c>
      <x:c r="O153" s="30"/>
      <x:c r="P153" s="30"/>
      <x:c r="Q153" s="30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36" t="n">
        <x:v>46295</x:v>
      </x:c>
      <x:c r="C154" s="30" t="str">
        <x:v>FR0000125486</x:v>
      </x:c>
      <x:c r="D154" s="30" t="n">
        <x:f>SUMIFS($M$7:$M$76,$G$7:$G$76,C154,$D$7:$D$76,"&lt;="&amp;B154)</x:f>
        <x:v>930</x:v>
      </x:c>
      <x:c r="E154" s="30" t="n">
        <x:f>SUMIFS($M$7:$M$76,$G$7:$G$76,C154,$D$7:$D$76,"&lt;="&amp;B154,$F$7:$F$76,"&gt;0",$F$7:$F$76,"&lt;="&amp;B154)</x:f>
        <x:v>930</x:v>
      </x:c>
      <x:c r="F154" s="32" t="str">
        <x:f>IF(H154&lt;&gt;1,"n.d.",IF(COUNTIFS('Anomalies'!$C$19:$C$23,"FR0000125486_2026-09-30",'Anomalies'!$D$19:$D$23,"CoursEUR",'Anomalies'!$F$19:$F$23,"OUI")=1,SUMIFS('Anomalies'!$E$19:$E$23,'Anomalies'!$C$19:$C$23,"FR0000125486_2026-09-30",'Anomalies'!$D$19:$D$23,"CoursEUR",'Anomalies'!$F$19:$F$23,"OUI"),SUMIFS('Marché'!$E$7:$E$106,'Marché'!$C$7:$C$106,B154,'Marché'!$D$7:$D$106,C154)))</x:f>
        <x:v>n.d.</x:v>
      </x:c>
      <x:c r="G154" s="36" t="str">
        <x:f>IF(H154&lt;&gt;1,"",IF(COUNTIFS('Anomalies'!$C$19:$C$23,"FR0000125486_2026-09-30",'Anomalies'!$D$19:$D$23,"CoursEUR",'Anomalies'!$F$19:$F$23,"OUI")=1,B154,SUMIFS('Marché'!$F$7:$F$106,'Marché'!$C$7:$C$106,B154,'Marché'!$D$7:$D$106,C154)))</x:f>
      </x:c>
      <x:c r="H154" s="30" t="n">
        <x:f>COUNTIFS('Marché'!$C$7:$C$106,B154,'Marché'!$D$7:$D$106,C154)</x:f>
        <x:v>0</x:v>
      </x:c>
      <x:c r="I154" s="32" t="str">
        <x:f>IF(M154="OK",D154*F154,"n.d.")</x:f>
        <x:v>n.d.</x:v>
      </x:c>
      <x:c r="J154" s="30" t="str">
        <x:f>IF(N154=1,SUMIFS('Dépositaire'!$Q$7:$Q$106,'Dépositaire'!$O$7:$O$106,B154,'Dépositaire'!$P$7:$P$106,C154),"n.d.")</x:f>
        <x:v>n.d.</x:v>
      </x:c>
      <x:c r="K154" s="30" t="str">
        <x:f>IF(ISNUMBER(J154),E154-J154,"n.d.")</x:f>
        <x:v>n.d.</x:v>
      </x:c>
      <x:c r="L154" s="37" t="str">
        <x:f>IF(OR(D154&lt;0,E154&lt;0),"Position négative","OK")</x:f>
        <x:v>OK</x:v>
      </x:c>
      <x:c r="M154" s="37" t="str">
        <x:f>IF(COUNTIFS('Marché'!$B$7:$B$106,"FR0000125486_2026-09-30")&lt;&gt;1,"Clé cours absente/dupliquée",IF(H154&lt;&gt;1,"Cours absent ou dupliqué",IF(NOT(ISNUMBER(F154)),"Cours invalide",IF(F154&lt;=0,"Cours invalide",IF(G154&lt;&gt;B154,"Cours périmé","OK")))))</x:f>
        <x:v>Clé cours absente/dupliquée</x:v>
      </x:c>
      <x:c r="N154" s="30" t="n">
        <x:f>COUNTIFS('Dépositaire'!$O$7:$O$106,B154,'Dépositaire'!$P$7:$P$106,C154)</x:f>
        <x:v>0</x:v>
      </x:c>
      <x:c r="O154" s="30"/>
      <x:c r="P154" s="30"/>
      <x:c r="Q154" s="30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36" t="n">
        <x:v>46295</x:v>
      </x:c>
      <x:c r="C155" s="30" t="str">
        <x:v>FR0000120321</x:v>
      </x:c>
      <x:c r="D155" s="30" t="n">
        <x:f>SUMIFS($M$7:$M$76,$G$7:$G$76,C155,$D$7:$D$76,"&lt;="&amp;B155)</x:f>
        <x:v>275</x:v>
      </x:c>
      <x:c r="E155" s="30" t="n">
        <x:f>SUMIFS($M$7:$M$76,$G$7:$G$76,C155,$D$7:$D$76,"&lt;="&amp;B155,$F$7:$F$76,"&gt;0",$F$7:$F$76,"&lt;="&amp;B155)</x:f>
        <x:v>275</x:v>
      </x:c>
      <x:c r="F155" s="32" t="str">
        <x:f>IF(H155&lt;&gt;1,"n.d.",IF(COUNTIFS('Anomalies'!$C$19:$C$23,"FR0000120321_2026-09-30",'Anomalies'!$D$19:$D$23,"CoursEUR",'Anomalies'!$F$19:$F$23,"OUI")=1,SUMIFS('Anomalies'!$E$19:$E$23,'Anomalies'!$C$19:$C$23,"FR0000120321_2026-09-30",'Anomalies'!$D$19:$D$23,"CoursEUR",'Anomalies'!$F$19:$F$23,"OUI"),SUMIFS('Marché'!$E$7:$E$106,'Marché'!$C$7:$C$106,B155,'Marché'!$D$7:$D$106,C155)))</x:f>
        <x:v>n.d.</x:v>
      </x:c>
      <x:c r="G155" s="36" t="str">
        <x:f>IF(H155&lt;&gt;1,"",IF(COUNTIFS('Anomalies'!$C$19:$C$23,"FR0000120321_2026-09-30",'Anomalies'!$D$19:$D$23,"CoursEUR",'Anomalies'!$F$19:$F$23,"OUI")=1,B155,SUMIFS('Marché'!$F$7:$F$106,'Marché'!$C$7:$C$106,B155,'Marché'!$D$7:$D$106,C155)))</x:f>
      </x:c>
      <x:c r="H155" s="30" t="n">
        <x:f>COUNTIFS('Marché'!$C$7:$C$106,B155,'Marché'!$D$7:$D$106,C155)</x:f>
        <x:v>0</x:v>
      </x:c>
      <x:c r="I155" s="32" t="str">
        <x:f>IF(M155="OK",D155*F155,"n.d.")</x:f>
        <x:v>n.d.</x:v>
      </x:c>
      <x:c r="J155" s="30" t="str">
        <x:f>IF(N155=1,SUMIFS('Dépositaire'!$Q$7:$Q$106,'Dépositaire'!$O$7:$O$106,B155,'Dépositaire'!$P$7:$P$106,C155),"n.d.")</x:f>
        <x:v>n.d.</x:v>
      </x:c>
      <x:c r="K155" s="30" t="str">
        <x:f>IF(ISNUMBER(J155),E155-J155,"n.d.")</x:f>
        <x:v>n.d.</x:v>
      </x:c>
      <x:c r="L155" s="37" t="str">
        <x:f>IF(OR(D155&lt;0,E155&lt;0),"Position négative","OK")</x:f>
        <x:v>OK</x:v>
      </x:c>
      <x:c r="M155" s="37" t="str">
        <x:f>IF(COUNTIFS('Marché'!$B$7:$B$106,"FR0000120321_2026-09-30")&lt;&gt;1,"Clé cours absente/dupliquée",IF(H155&lt;&gt;1,"Cours absent ou dupliqué",IF(NOT(ISNUMBER(F155)),"Cours invalide",IF(F155&lt;=0,"Cours invalide",IF(G155&lt;&gt;B155,"Cours périmé","OK")))))</x:f>
        <x:v>Clé cours absente/dupliquée</x:v>
      </x:c>
      <x:c r="N155" s="30" t="n">
        <x:f>COUNTIFS('Dépositaire'!$O$7:$O$106,B155,'Dépositaire'!$P$7:$P$106,C155)</x:f>
        <x:v>0</x:v>
      </x:c>
      <x:c r="O155" s="30"/>
      <x:c r="P155" s="30"/>
      <x:c r="Q155" s="30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36" t="n">
        <x:v>46296</x:v>
      </x:c>
      <x:c r="C156" s="30" t="str">
        <x:v>FR0000120073</x:v>
      </x:c>
      <x:c r="D156" s="30" t="n">
        <x:f>SUMIFS($M$7:$M$76,$G$7:$G$76,C156,$D$7:$D$76,"&lt;="&amp;B156)</x:f>
        <x:v>720</x:v>
      </x:c>
      <x:c r="E156" s="30" t="n">
        <x:f>SUMIFS($M$7:$M$76,$G$7:$G$76,C156,$D$7:$D$76,"&lt;="&amp;B156,$F$7:$F$76,"&gt;0",$F$7:$F$76,"&lt;="&amp;B156)</x:f>
        <x:v>720</x:v>
      </x:c>
      <x:c r="F156" s="32" t="str">
        <x:f>IF(H156&lt;&gt;1,"n.d.",IF(COUNTIFS('Anomalies'!$C$19:$C$23,"FR0000120073_2026-10-01",'Anomalies'!$D$19:$D$23,"CoursEUR",'Anomalies'!$F$19:$F$23,"OUI")=1,SUMIFS('Anomalies'!$E$19:$E$23,'Anomalies'!$C$19:$C$23,"FR0000120073_2026-10-01",'Anomalies'!$D$19:$D$23,"CoursEUR",'Anomalies'!$F$19:$F$23,"OUI"),SUMIFS('Marché'!$E$7:$E$106,'Marché'!$C$7:$C$106,B156,'Marché'!$D$7:$D$106,C156)))</x:f>
        <x:v>n.d.</x:v>
      </x:c>
      <x:c r="G156" s="36" t="str">
        <x:f>IF(H156&lt;&gt;1,"",IF(COUNTIFS('Anomalies'!$C$19:$C$23,"FR0000120073_2026-10-01",'Anomalies'!$D$19:$D$23,"CoursEUR",'Anomalies'!$F$19:$F$23,"OUI")=1,B156,SUMIFS('Marché'!$F$7:$F$106,'Marché'!$C$7:$C$106,B156,'Marché'!$D$7:$D$106,C156)))</x:f>
      </x:c>
      <x:c r="H156" s="30" t="n">
        <x:f>COUNTIFS('Marché'!$C$7:$C$106,B156,'Marché'!$D$7:$D$106,C156)</x:f>
        <x:v>0</x:v>
      </x:c>
      <x:c r="I156" s="32" t="str">
        <x:f>IF(M156="OK",D156*F156,"n.d.")</x:f>
        <x:v>n.d.</x:v>
      </x:c>
      <x:c r="J156" s="30" t="str">
        <x:f>IF(N156=1,SUMIFS('Dépositaire'!$Q$7:$Q$106,'Dépositaire'!$O$7:$O$106,B156,'Dépositaire'!$P$7:$P$106,C156),"n.d.")</x:f>
        <x:v>n.d.</x:v>
      </x:c>
      <x:c r="K156" s="30" t="str">
        <x:f>IF(ISNUMBER(J156),E156-J156,"n.d.")</x:f>
        <x:v>n.d.</x:v>
      </x:c>
      <x:c r="L156" s="37" t="str">
        <x:f>IF(OR(D156&lt;0,E156&lt;0),"Position négative","OK")</x:f>
        <x:v>OK</x:v>
      </x:c>
      <x:c r="M156" s="37" t="str">
        <x:f>IF(COUNTIFS('Marché'!$B$7:$B$106,"FR0000120073_2026-10-01")&lt;&gt;1,"Clé cours absente/dupliquée",IF(H156&lt;&gt;1,"Cours absent ou dupliqué",IF(NOT(ISNUMBER(F156)),"Cours invalide",IF(F156&lt;=0,"Cours invalide",IF(G156&lt;&gt;B156,"Cours périmé","OK")))))</x:f>
        <x:v>Clé cours absente/dupliquée</x:v>
      </x:c>
      <x:c r="N156" s="30" t="n">
        <x:f>COUNTIFS('Dépositaire'!$O$7:$O$106,B156,'Dépositaire'!$P$7:$P$106,C156)</x:f>
        <x:v>0</x:v>
      </x:c>
      <x:c r="O156" s="30"/>
      <x:c r="P156" s="30"/>
      <x:c r="Q156" s="30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36" t="n">
        <x:v>46296</x:v>
      </x:c>
      <x:c r="C157" s="30" t="str">
        <x:v>FR0000121972</x:v>
      </x:c>
      <x:c r="D157" s="30" t="n">
        <x:f>SUMIFS($M$7:$M$76,$G$7:$G$76,C157,$D$7:$D$76,"&lt;="&amp;B157)</x:f>
        <x:v>425</x:v>
      </x:c>
      <x:c r="E157" s="30" t="n">
        <x:f>SUMIFS($M$7:$M$76,$G$7:$G$76,C157,$D$7:$D$76,"&lt;="&amp;B157,$F$7:$F$76,"&gt;0",$F$7:$F$76,"&lt;="&amp;B157)</x:f>
        <x:v>425</x:v>
      </x:c>
      <x:c r="F157" s="32" t="str">
        <x:f>IF(H157&lt;&gt;1,"n.d.",IF(COUNTIFS('Anomalies'!$C$19:$C$23,"FR0000121972_2026-10-01",'Anomalies'!$D$19:$D$23,"CoursEUR",'Anomalies'!$F$19:$F$23,"OUI")=1,SUMIFS('Anomalies'!$E$19:$E$23,'Anomalies'!$C$19:$C$23,"FR0000121972_2026-10-01",'Anomalies'!$D$19:$D$23,"CoursEUR",'Anomalies'!$F$19:$F$23,"OUI"),SUMIFS('Marché'!$E$7:$E$106,'Marché'!$C$7:$C$106,B157,'Marché'!$D$7:$D$106,C157)))</x:f>
        <x:v>n.d.</x:v>
      </x:c>
      <x:c r="G157" s="36" t="str">
        <x:f>IF(H157&lt;&gt;1,"",IF(COUNTIFS('Anomalies'!$C$19:$C$23,"FR0000121972_2026-10-01",'Anomalies'!$D$19:$D$23,"CoursEUR",'Anomalies'!$F$19:$F$23,"OUI")=1,B157,SUMIFS('Marché'!$F$7:$F$106,'Marché'!$C$7:$C$106,B157,'Marché'!$D$7:$D$106,C157)))</x:f>
      </x:c>
      <x:c r="H157" s="30" t="n">
        <x:f>COUNTIFS('Marché'!$C$7:$C$106,B157,'Marché'!$D$7:$D$106,C157)</x:f>
        <x:v>0</x:v>
      </x:c>
      <x:c r="I157" s="32" t="str">
        <x:f>IF(M157="OK",D157*F157,"n.d.")</x:f>
        <x:v>n.d.</x:v>
      </x:c>
      <x:c r="J157" s="30" t="str">
        <x:f>IF(N157=1,SUMIFS('Dépositaire'!$Q$7:$Q$106,'Dépositaire'!$O$7:$O$106,B157,'Dépositaire'!$P$7:$P$106,C157),"n.d.")</x:f>
        <x:v>n.d.</x:v>
      </x:c>
      <x:c r="K157" s="30" t="str">
        <x:f>IF(ISNUMBER(J157),E157-J157,"n.d.")</x:f>
        <x:v>n.d.</x:v>
      </x:c>
      <x:c r="L157" s="37" t="str">
        <x:f>IF(OR(D157&lt;0,E157&lt;0),"Position négative","OK")</x:f>
        <x:v>OK</x:v>
      </x:c>
      <x:c r="M157" s="37" t="str">
        <x:f>IF(COUNTIFS('Marché'!$B$7:$B$106,"FR0000121972_2026-10-01")&lt;&gt;1,"Clé cours absente/dupliquée",IF(H157&lt;&gt;1,"Cours absent ou dupliqué",IF(NOT(ISNUMBER(F157)),"Cours invalide",IF(F157&lt;=0,"Cours invalide",IF(G157&lt;&gt;B157,"Cours périmé","OK")))))</x:f>
        <x:v>Clé cours absente/dupliquée</x:v>
      </x:c>
      <x:c r="N157" s="30" t="n">
        <x:f>COUNTIFS('Dépositaire'!$O$7:$O$106,B157,'Dépositaire'!$P$7:$P$106,C157)</x:f>
        <x:v>0</x:v>
      </x:c>
      <x:c r="O157" s="30"/>
      <x:c r="P157" s="30"/>
      <x:c r="Q157" s="30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36" t="n">
        <x:v>46296</x:v>
      </x:c>
      <x:c r="C158" s="30" t="str">
        <x:v>FR0000120644</x:v>
      </x:c>
      <x:c r="D158" s="30" t="n">
        <x:f>SUMIFS($M$7:$M$76,$G$7:$G$76,C158,$D$7:$D$76,"&lt;="&amp;B158)</x:f>
        <x:v>1775</x:v>
      </x:c>
      <x:c r="E158" s="30" t="n">
        <x:f>SUMIFS($M$7:$M$76,$G$7:$G$76,C158,$D$7:$D$76,"&lt;="&amp;B158,$F$7:$F$76,"&gt;0",$F$7:$F$76,"&lt;="&amp;B158)</x:f>
        <x:v>1775</x:v>
      </x:c>
      <x:c r="F158" s="32" t="str">
        <x:f>IF(H158&lt;&gt;1,"n.d.",IF(COUNTIFS('Anomalies'!$C$19:$C$23,"FR0000120644_2026-10-01",'Anomalies'!$D$19:$D$23,"CoursEUR",'Anomalies'!$F$19:$F$23,"OUI")=1,SUMIFS('Anomalies'!$E$19:$E$23,'Anomalies'!$C$19:$C$23,"FR0000120644_2026-10-01",'Anomalies'!$D$19:$D$23,"CoursEUR",'Anomalies'!$F$19:$F$23,"OUI"),SUMIFS('Marché'!$E$7:$E$106,'Marché'!$C$7:$C$106,B158,'Marché'!$D$7:$D$106,C158)))</x:f>
        <x:v>n.d.</x:v>
      </x:c>
      <x:c r="G158" s="36" t="str">
        <x:f>IF(H158&lt;&gt;1,"",IF(COUNTIFS('Anomalies'!$C$19:$C$23,"FR0000120644_2026-10-01",'Anomalies'!$D$19:$D$23,"CoursEUR",'Anomalies'!$F$19:$F$23,"OUI")=1,B158,SUMIFS('Marché'!$F$7:$F$106,'Marché'!$C$7:$C$106,B158,'Marché'!$D$7:$D$106,C158)))</x:f>
      </x:c>
      <x:c r="H158" s="30" t="n">
        <x:f>COUNTIFS('Marché'!$C$7:$C$106,B158,'Marché'!$D$7:$D$106,C158)</x:f>
        <x:v>0</x:v>
      </x:c>
      <x:c r="I158" s="32" t="str">
        <x:f>IF(M158="OK",D158*F158,"n.d.")</x:f>
        <x:v>n.d.</x:v>
      </x:c>
      <x:c r="J158" s="30" t="str">
        <x:f>IF(N158=1,SUMIFS('Dépositaire'!$Q$7:$Q$106,'Dépositaire'!$O$7:$O$106,B158,'Dépositaire'!$P$7:$P$106,C158),"n.d.")</x:f>
        <x:v>n.d.</x:v>
      </x:c>
      <x:c r="K158" s="30" t="str">
        <x:f>IF(ISNUMBER(J158),E158-J158,"n.d.")</x:f>
        <x:v>n.d.</x:v>
      </x:c>
      <x:c r="L158" s="37" t="str">
        <x:f>IF(OR(D158&lt;0,E158&lt;0),"Position négative","OK")</x:f>
        <x:v>OK</x:v>
      </x:c>
      <x:c r="M158" s="37" t="str">
        <x:f>IF(COUNTIFS('Marché'!$B$7:$B$106,"FR0000120644_2026-10-01")&lt;&gt;1,"Clé cours absente/dupliquée",IF(H158&lt;&gt;1,"Cours absent ou dupliqué",IF(NOT(ISNUMBER(F158)),"Cours invalide",IF(F158&lt;=0,"Cours invalide",IF(G158&lt;&gt;B158,"Cours périmé","OK")))))</x:f>
        <x:v>Clé cours absente/dupliquée</x:v>
      </x:c>
      <x:c r="N158" s="30" t="n">
        <x:f>COUNTIFS('Dépositaire'!$O$7:$O$106,B158,'Dépositaire'!$P$7:$P$106,C158)</x:f>
        <x:v>0</x:v>
      </x:c>
      <x:c r="O158" s="30"/>
      <x:c r="P158" s="30"/>
      <x:c r="Q158" s="30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36" t="n">
        <x:v>46296</x:v>
      </x:c>
      <x:c r="C159" s="30" t="str">
        <x:v>FR0000125486</x:v>
      </x:c>
      <x:c r="D159" s="30" t="n">
        <x:f>SUMIFS($M$7:$M$76,$G$7:$G$76,C159,$D$7:$D$76,"&lt;="&amp;B159)</x:f>
        <x:v>930</x:v>
      </x:c>
      <x:c r="E159" s="30" t="n">
        <x:f>SUMIFS($M$7:$M$76,$G$7:$G$76,C159,$D$7:$D$76,"&lt;="&amp;B159,$F$7:$F$76,"&gt;0",$F$7:$F$76,"&lt;="&amp;B159)</x:f>
        <x:v>930</x:v>
      </x:c>
      <x:c r="F159" s="32" t="str">
        <x:f>IF(H159&lt;&gt;1,"n.d.",IF(COUNTIFS('Anomalies'!$C$19:$C$23,"FR0000125486_2026-10-01",'Anomalies'!$D$19:$D$23,"CoursEUR",'Anomalies'!$F$19:$F$23,"OUI")=1,SUMIFS('Anomalies'!$E$19:$E$23,'Anomalies'!$C$19:$C$23,"FR0000125486_2026-10-01",'Anomalies'!$D$19:$D$23,"CoursEUR",'Anomalies'!$F$19:$F$23,"OUI"),SUMIFS('Marché'!$E$7:$E$106,'Marché'!$C$7:$C$106,B159,'Marché'!$D$7:$D$106,C159)))</x:f>
        <x:v>n.d.</x:v>
      </x:c>
      <x:c r="G159" s="36" t="str">
        <x:f>IF(H159&lt;&gt;1,"",IF(COUNTIFS('Anomalies'!$C$19:$C$23,"FR0000125486_2026-10-01",'Anomalies'!$D$19:$D$23,"CoursEUR",'Anomalies'!$F$19:$F$23,"OUI")=1,B159,SUMIFS('Marché'!$F$7:$F$106,'Marché'!$C$7:$C$106,B159,'Marché'!$D$7:$D$106,C159)))</x:f>
      </x:c>
      <x:c r="H159" s="30" t="n">
        <x:f>COUNTIFS('Marché'!$C$7:$C$106,B159,'Marché'!$D$7:$D$106,C159)</x:f>
        <x:v>0</x:v>
      </x:c>
      <x:c r="I159" s="32" t="str">
        <x:f>IF(M159="OK",D159*F159,"n.d.")</x:f>
        <x:v>n.d.</x:v>
      </x:c>
      <x:c r="J159" s="30" t="str">
        <x:f>IF(N159=1,SUMIFS('Dépositaire'!$Q$7:$Q$106,'Dépositaire'!$O$7:$O$106,B159,'Dépositaire'!$P$7:$P$106,C159),"n.d.")</x:f>
        <x:v>n.d.</x:v>
      </x:c>
      <x:c r="K159" s="30" t="str">
        <x:f>IF(ISNUMBER(J159),E159-J159,"n.d.")</x:f>
        <x:v>n.d.</x:v>
      </x:c>
      <x:c r="L159" s="37" t="str">
        <x:f>IF(OR(D159&lt;0,E159&lt;0),"Position négative","OK")</x:f>
        <x:v>OK</x:v>
      </x:c>
      <x:c r="M159" s="37" t="str">
        <x:f>IF(COUNTIFS('Marché'!$B$7:$B$106,"FR0000125486_2026-10-01")&lt;&gt;1,"Clé cours absente/dupliquée",IF(H159&lt;&gt;1,"Cours absent ou dupliqué",IF(NOT(ISNUMBER(F159)),"Cours invalide",IF(F159&lt;=0,"Cours invalide",IF(G159&lt;&gt;B159,"Cours périmé","OK")))))</x:f>
        <x:v>Clé cours absente/dupliquée</x:v>
      </x:c>
      <x:c r="N159" s="30" t="n">
        <x:f>COUNTIFS('Dépositaire'!$O$7:$O$106,B159,'Dépositaire'!$P$7:$P$106,C159)</x:f>
        <x:v>0</x:v>
      </x:c>
      <x:c r="O159" s="30"/>
      <x:c r="P159" s="30"/>
      <x:c r="Q159" s="30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36" t="n">
        <x:v>46296</x:v>
      </x:c>
      <x:c r="C160" s="30" t="str">
        <x:v>FR0000120321</x:v>
      </x:c>
      <x:c r="D160" s="30" t="n">
        <x:f>SUMIFS($M$7:$M$76,$G$7:$G$76,C160,$D$7:$D$76,"&lt;="&amp;B160)</x:f>
        <x:v>275</x:v>
      </x:c>
      <x:c r="E160" s="30" t="n">
        <x:f>SUMIFS($M$7:$M$76,$G$7:$G$76,C160,$D$7:$D$76,"&lt;="&amp;B160,$F$7:$F$76,"&gt;0",$F$7:$F$76,"&lt;="&amp;B160)</x:f>
        <x:v>275</x:v>
      </x:c>
      <x:c r="F160" s="32" t="str">
        <x:f>IF(H160&lt;&gt;1,"n.d.",IF(COUNTIFS('Anomalies'!$C$19:$C$23,"FR0000120321_2026-10-01",'Anomalies'!$D$19:$D$23,"CoursEUR",'Anomalies'!$F$19:$F$23,"OUI")=1,SUMIFS('Anomalies'!$E$19:$E$23,'Anomalies'!$C$19:$C$23,"FR0000120321_2026-10-01",'Anomalies'!$D$19:$D$23,"CoursEUR",'Anomalies'!$F$19:$F$23,"OUI"),SUMIFS('Marché'!$E$7:$E$106,'Marché'!$C$7:$C$106,B160,'Marché'!$D$7:$D$106,C160)))</x:f>
        <x:v>n.d.</x:v>
      </x:c>
      <x:c r="G160" s="36" t="str">
        <x:f>IF(H160&lt;&gt;1,"",IF(COUNTIFS('Anomalies'!$C$19:$C$23,"FR0000120321_2026-10-01",'Anomalies'!$D$19:$D$23,"CoursEUR",'Anomalies'!$F$19:$F$23,"OUI")=1,B160,SUMIFS('Marché'!$F$7:$F$106,'Marché'!$C$7:$C$106,B160,'Marché'!$D$7:$D$106,C160)))</x:f>
      </x:c>
      <x:c r="H160" s="30" t="n">
        <x:f>COUNTIFS('Marché'!$C$7:$C$106,B160,'Marché'!$D$7:$D$106,C160)</x:f>
        <x:v>0</x:v>
      </x:c>
      <x:c r="I160" s="32" t="str">
        <x:f>IF(M160="OK",D160*F160,"n.d.")</x:f>
        <x:v>n.d.</x:v>
      </x:c>
      <x:c r="J160" s="30" t="str">
        <x:f>IF(N160=1,SUMIFS('Dépositaire'!$Q$7:$Q$106,'Dépositaire'!$O$7:$O$106,B160,'Dépositaire'!$P$7:$P$106,C160),"n.d.")</x:f>
        <x:v>n.d.</x:v>
      </x:c>
      <x:c r="K160" s="30" t="str">
        <x:f>IF(ISNUMBER(J160),E160-J160,"n.d.")</x:f>
        <x:v>n.d.</x:v>
      </x:c>
      <x:c r="L160" s="37" t="str">
        <x:f>IF(OR(D160&lt;0,E160&lt;0),"Position négative","OK")</x:f>
        <x:v>OK</x:v>
      </x:c>
      <x:c r="M160" s="37" t="str">
        <x:f>IF(COUNTIFS('Marché'!$B$7:$B$106,"FR0000120321_2026-10-01")&lt;&gt;1,"Clé cours absente/dupliquée",IF(H160&lt;&gt;1,"Cours absent ou dupliqué",IF(NOT(ISNUMBER(F160)),"Cours invalide",IF(F160&lt;=0,"Cours invalide",IF(G160&lt;&gt;B160,"Cours périmé","OK")))))</x:f>
        <x:v>Clé cours absente/dupliquée</x:v>
      </x:c>
      <x:c r="N160" s="30" t="n">
        <x:f>COUNTIFS('Dépositaire'!$O$7:$O$106,B160,'Dépositaire'!$P$7:$P$106,C160)</x:f>
        <x:v>0</x:v>
      </x:c>
      <x:c r="O160" s="30"/>
      <x:c r="P160" s="30"/>
      <x:c r="Q160" s="30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36" t="n">
        <x:v>46297</x:v>
      </x:c>
      <x:c r="C161" s="30" t="str">
        <x:v>FR0000120073</x:v>
      </x:c>
      <x:c r="D161" s="30" t="n">
        <x:f>SUMIFS($M$7:$M$76,$G$7:$G$76,C161,$D$7:$D$76,"&lt;="&amp;B161)</x:f>
        <x:v>720</x:v>
      </x:c>
      <x:c r="E161" s="30" t="n">
        <x:f>SUMIFS($M$7:$M$76,$G$7:$G$76,C161,$D$7:$D$76,"&lt;="&amp;B161,$F$7:$F$76,"&gt;0",$F$7:$F$76,"&lt;="&amp;B161)</x:f>
        <x:v>720</x:v>
      </x:c>
      <x:c r="F161" s="32" t="str">
        <x:f>IF(H161&lt;&gt;1,"n.d.",IF(COUNTIFS('Anomalies'!$C$19:$C$23,"FR0000120073_2026-10-02",'Anomalies'!$D$19:$D$23,"CoursEUR",'Anomalies'!$F$19:$F$23,"OUI")=1,SUMIFS('Anomalies'!$E$19:$E$23,'Anomalies'!$C$19:$C$23,"FR0000120073_2026-10-02",'Anomalies'!$D$19:$D$23,"CoursEUR",'Anomalies'!$F$19:$F$23,"OUI"),SUMIFS('Marché'!$E$7:$E$106,'Marché'!$C$7:$C$106,B161,'Marché'!$D$7:$D$106,C161)))</x:f>
        <x:v>n.d.</x:v>
      </x:c>
      <x:c r="G161" s="36" t="str">
        <x:f>IF(H161&lt;&gt;1,"",IF(COUNTIFS('Anomalies'!$C$19:$C$23,"FR0000120073_2026-10-02",'Anomalies'!$D$19:$D$23,"CoursEUR",'Anomalies'!$F$19:$F$23,"OUI")=1,B161,SUMIFS('Marché'!$F$7:$F$106,'Marché'!$C$7:$C$106,B161,'Marché'!$D$7:$D$106,C161)))</x:f>
      </x:c>
      <x:c r="H161" s="30" t="n">
        <x:f>COUNTIFS('Marché'!$C$7:$C$106,B161,'Marché'!$D$7:$D$106,C161)</x:f>
        <x:v>0</x:v>
      </x:c>
      <x:c r="I161" s="32" t="str">
        <x:f>IF(M161="OK",D161*F161,"n.d.")</x:f>
        <x:v>n.d.</x:v>
      </x:c>
      <x:c r="J161" s="30" t="str">
        <x:f>IF(N161=1,SUMIFS('Dépositaire'!$Q$7:$Q$106,'Dépositaire'!$O$7:$O$106,B161,'Dépositaire'!$P$7:$P$106,C161),"n.d.")</x:f>
        <x:v>n.d.</x:v>
      </x:c>
      <x:c r="K161" s="30" t="str">
        <x:f>IF(ISNUMBER(J161),E161-J161,"n.d.")</x:f>
        <x:v>n.d.</x:v>
      </x:c>
      <x:c r="L161" s="37" t="str">
        <x:f>IF(OR(D161&lt;0,E161&lt;0),"Position négative","OK")</x:f>
        <x:v>OK</x:v>
      </x:c>
      <x:c r="M161" s="37" t="str">
        <x:f>IF(COUNTIFS('Marché'!$B$7:$B$106,"FR0000120073_2026-10-02")&lt;&gt;1,"Clé cours absente/dupliquée",IF(H161&lt;&gt;1,"Cours absent ou dupliqué",IF(NOT(ISNUMBER(F161)),"Cours invalide",IF(F161&lt;=0,"Cours invalide",IF(G161&lt;&gt;B161,"Cours périmé","OK")))))</x:f>
        <x:v>Clé cours absente/dupliquée</x:v>
      </x:c>
      <x:c r="N161" s="30" t="n">
        <x:f>COUNTIFS('Dépositaire'!$O$7:$O$106,B161,'Dépositaire'!$P$7:$P$106,C161)</x:f>
        <x:v>0</x:v>
      </x:c>
      <x:c r="O161" s="30"/>
      <x:c r="P161" s="30"/>
      <x:c r="Q161" s="30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36" t="n">
        <x:v>46297</x:v>
      </x:c>
      <x:c r="C162" s="30" t="str">
        <x:v>FR0000121972</x:v>
      </x:c>
      <x:c r="D162" s="30" t="n">
        <x:f>SUMIFS($M$7:$M$76,$G$7:$G$76,C162,$D$7:$D$76,"&lt;="&amp;B162)</x:f>
        <x:v>425</x:v>
      </x:c>
      <x:c r="E162" s="30" t="n">
        <x:f>SUMIFS($M$7:$M$76,$G$7:$G$76,C162,$D$7:$D$76,"&lt;="&amp;B162,$F$7:$F$76,"&gt;0",$F$7:$F$76,"&lt;="&amp;B162)</x:f>
        <x:v>425</x:v>
      </x:c>
      <x:c r="F162" s="32" t="str">
        <x:f>IF(H162&lt;&gt;1,"n.d.",IF(COUNTIFS('Anomalies'!$C$19:$C$23,"FR0000121972_2026-10-02",'Anomalies'!$D$19:$D$23,"CoursEUR",'Anomalies'!$F$19:$F$23,"OUI")=1,SUMIFS('Anomalies'!$E$19:$E$23,'Anomalies'!$C$19:$C$23,"FR0000121972_2026-10-02",'Anomalies'!$D$19:$D$23,"CoursEUR",'Anomalies'!$F$19:$F$23,"OUI"),SUMIFS('Marché'!$E$7:$E$106,'Marché'!$C$7:$C$106,B162,'Marché'!$D$7:$D$106,C162)))</x:f>
        <x:v>n.d.</x:v>
      </x:c>
      <x:c r="G162" s="36" t="str">
        <x:f>IF(H162&lt;&gt;1,"",IF(COUNTIFS('Anomalies'!$C$19:$C$23,"FR0000121972_2026-10-02",'Anomalies'!$D$19:$D$23,"CoursEUR",'Anomalies'!$F$19:$F$23,"OUI")=1,B162,SUMIFS('Marché'!$F$7:$F$106,'Marché'!$C$7:$C$106,B162,'Marché'!$D$7:$D$106,C162)))</x:f>
      </x:c>
      <x:c r="H162" s="30" t="n">
        <x:f>COUNTIFS('Marché'!$C$7:$C$106,B162,'Marché'!$D$7:$D$106,C162)</x:f>
        <x:v>0</x:v>
      </x:c>
      <x:c r="I162" s="32" t="str">
        <x:f>IF(M162="OK",D162*F162,"n.d.")</x:f>
        <x:v>n.d.</x:v>
      </x:c>
      <x:c r="J162" s="30" t="str">
        <x:f>IF(N162=1,SUMIFS('Dépositaire'!$Q$7:$Q$106,'Dépositaire'!$O$7:$O$106,B162,'Dépositaire'!$P$7:$P$106,C162),"n.d.")</x:f>
        <x:v>n.d.</x:v>
      </x:c>
      <x:c r="K162" s="30" t="str">
        <x:f>IF(ISNUMBER(J162),E162-J162,"n.d.")</x:f>
        <x:v>n.d.</x:v>
      </x:c>
      <x:c r="L162" s="37" t="str">
        <x:f>IF(OR(D162&lt;0,E162&lt;0),"Position négative","OK")</x:f>
        <x:v>OK</x:v>
      </x:c>
      <x:c r="M162" s="37" t="str">
        <x:f>IF(COUNTIFS('Marché'!$B$7:$B$106,"FR0000121972_2026-10-02")&lt;&gt;1,"Clé cours absente/dupliquée",IF(H162&lt;&gt;1,"Cours absent ou dupliqué",IF(NOT(ISNUMBER(F162)),"Cours invalide",IF(F162&lt;=0,"Cours invalide",IF(G162&lt;&gt;B162,"Cours périmé","OK")))))</x:f>
        <x:v>Clé cours absente/dupliquée</x:v>
      </x:c>
      <x:c r="N162" s="30" t="n">
        <x:f>COUNTIFS('Dépositaire'!$O$7:$O$106,B162,'Dépositaire'!$P$7:$P$106,C162)</x:f>
        <x:v>0</x:v>
      </x:c>
      <x:c r="O162" s="30"/>
      <x:c r="P162" s="30"/>
      <x:c r="Q162" s="30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36" t="n">
        <x:v>46297</x:v>
      </x:c>
      <x:c r="C163" s="30" t="str">
        <x:v>FR0000120644</x:v>
      </x:c>
      <x:c r="D163" s="30" t="n">
        <x:f>SUMIFS($M$7:$M$76,$G$7:$G$76,C163,$D$7:$D$76,"&lt;="&amp;B163)</x:f>
        <x:v>1775</x:v>
      </x:c>
      <x:c r="E163" s="30" t="n">
        <x:f>SUMIFS($M$7:$M$76,$G$7:$G$76,C163,$D$7:$D$76,"&lt;="&amp;B163,$F$7:$F$76,"&gt;0",$F$7:$F$76,"&lt;="&amp;B163)</x:f>
        <x:v>1775</x:v>
      </x:c>
      <x:c r="F163" s="32" t="str">
        <x:f>IF(H163&lt;&gt;1,"n.d.",IF(COUNTIFS('Anomalies'!$C$19:$C$23,"FR0000120644_2026-10-02",'Anomalies'!$D$19:$D$23,"CoursEUR",'Anomalies'!$F$19:$F$23,"OUI")=1,SUMIFS('Anomalies'!$E$19:$E$23,'Anomalies'!$C$19:$C$23,"FR0000120644_2026-10-02",'Anomalies'!$D$19:$D$23,"CoursEUR",'Anomalies'!$F$19:$F$23,"OUI"),SUMIFS('Marché'!$E$7:$E$106,'Marché'!$C$7:$C$106,B163,'Marché'!$D$7:$D$106,C163)))</x:f>
        <x:v>n.d.</x:v>
      </x:c>
      <x:c r="G163" s="36" t="str">
        <x:f>IF(H163&lt;&gt;1,"",IF(COUNTIFS('Anomalies'!$C$19:$C$23,"FR0000120644_2026-10-02",'Anomalies'!$D$19:$D$23,"CoursEUR",'Anomalies'!$F$19:$F$23,"OUI")=1,B163,SUMIFS('Marché'!$F$7:$F$106,'Marché'!$C$7:$C$106,B163,'Marché'!$D$7:$D$106,C163)))</x:f>
      </x:c>
      <x:c r="H163" s="30" t="n">
        <x:f>COUNTIFS('Marché'!$C$7:$C$106,B163,'Marché'!$D$7:$D$106,C163)</x:f>
        <x:v>0</x:v>
      </x:c>
      <x:c r="I163" s="32" t="str">
        <x:f>IF(M163="OK",D163*F163,"n.d.")</x:f>
        <x:v>n.d.</x:v>
      </x:c>
      <x:c r="J163" s="30" t="str">
        <x:f>IF(N163=1,SUMIFS('Dépositaire'!$Q$7:$Q$106,'Dépositaire'!$O$7:$O$106,B163,'Dépositaire'!$P$7:$P$106,C163),"n.d.")</x:f>
        <x:v>n.d.</x:v>
      </x:c>
      <x:c r="K163" s="30" t="str">
        <x:f>IF(ISNUMBER(J163),E163-J163,"n.d.")</x:f>
        <x:v>n.d.</x:v>
      </x:c>
      <x:c r="L163" s="37" t="str">
        <x:f>IF(OR(D163&lt;0,E163&lt;0),"Position négative","OK")</x:f>
        <x:v>OK</x:v>
      </x:c>
      <x:c r="M163" s="37" t="str">
        <x:f>IF(COUNTIFS('Marché'!$B$7:$B$106,"FR0000120644_2026-10-02")&lt;&gt;1,"Clé cours absente/dupliquée",IF(H163&lt;&gt;1,"Cours absent ou dupliqué",IF(NOT(ISNUMBER(F163)),"Cours invalide",IF(F163&lt;=0,"Cours invalide",IF(G163&lt;&gt;B163,"Cours périmé","OK")))))</x:f>
        <x:v>Clé cours absente/dupliquée</x:v>
      </x:c>
      <x:c r="N163" s="30" t="n">
        <x:f>COUNTIFS('Dépositaire'!$O$7:$O$106,B163,'Dépositaire'!$P$7:$P$106,C163)</x:f>
        <x:v>0</x:v>
      </x:c>
      <x:c r="O163" s="30"/>
      <x:c r="P163" s="30"/>
      <x:c r="Q163" s="30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36" t="n">
        <x:v>46297</x:v>
      </x:c>
      <x:c r="C164" s="30" t="str">
        <x:v>FR0000125486</x:v>
      </x:c>
      <x:c r="D164" s="30" t="n">
        <x:f>SUMIFS($M$7:$M$76,$G$7:$G$76,C164,$D$7:$D$76,"&lt;="&amp;B164)</x:f>
        <x:v>930</x:v>
      </x:c>
      <x:c r="E164" s="30" t="n">
        <x:f>SUMIFS($M$7:$M$76,$G$7:$G$76,C164,$D$7:$D$76,"&lt;="&amp;B164,$F$7:$F$76,"&gt;0",$F$7:$F$76,"&lt;="&amp;B164)</x:f>
        <x:v>930</x:v>
      </x:c>
      <x:c r="F164" s="32" t="str">
        <x:f>IF(H164&lt;&gt;1,"n.d.",IF(COUNTIFS('Anomalies'!$C$19:$C$23,"FR0000125486_2026-10-02",'Anomalies'!$D$19:$D$23,"CoursEUR",'Anomalies'!$F$19:$F$23,"OUI")=1,SUMIFS('Anomalies'!$E$19:$E$23,'Anomalies'!$C$19:$C$23,"FR0000125486_2026-10-02",'Anomalies'!$D$19:$D$23,"CoursEUR",'Anomalies'!$F$19:$F$23,"OUI"),SUMIFS('Marché'!$E$7:$E$106,'Marché'!$C$7:$C$106,B164,'Marché'!$D$7:$D$106,C164)))</x:f>
        <x:v>n.d.</x:v>
      </x:c>
      <x:c r="G164" s="36" t="str">
        <x:f>IF(H164&lt;&gt;1,"",IF(COUNTIFS('Anomalies'!$C$19:$C$23,"FR0000125486_2026-10-02",'Anomalies'!$D$19:$D$23,"CoursEUR",'Anomalies'!$F$19:$F$23,"OUI")=1,B164,SUMIFS('Marché'!$F$7:$F$106,'Marché'!$C$7:$C$106,B164,'Marché'!$D$7:$D$106,C164)))</x:f>
      </x:c>
      <x:c r="H164" s="30" t="n">
        <x:f>COUNTIFS('Marché'!$C$7:$C$106,B164,'Marché'!$D$7:$D$106,C164)</x:f>
        <x:v>0</x:v>
      </x:c>
      <x:c r="I164" s="32" t="str">
        <x:f>IF(M164="OK",D164*F164,"n.d.")</x:f>
        <x:v>n.d.</x:v>
      </x:c>
      <x:c r="J164" s="30" t="str">
        <x:f>IF(N164=1,SUMIFS('Dépositaire'!$Q$7:$Q$106,'Dépositaire'!$O$7:$O$106,B164,'Dépositaire'!$P$7:$P$106,C164),"n.d.")</x:f>
        <x:v>n.d.</x:v>
      </x:c>
      <x:c r="K164" s="30" t="str">
        <x:f>IF(ISNUMBER(J164),E164-J164,"n.d.")</x:f>
        <x:v>n.d.</x:v>
      </x:c>
      <x:c r="L164" s="37" t="str">
        <x:f>IF(OR(D164&lt;0,E164&lt;0),"Position négative","OK")</x:f>
        <x:v>OK</x:v>
      </x:c>
      <x:c r="M164" s="37" t="str">
        <x:f>IF(COUNTIFS('Marché'!$B$7:$B$106,"FR0000125486_2026-10-02")&lt;&gt;1,"Clé cours absente/dupliquée",IF(H164&lt;&gt;1,"Cours absent ou dupliqué",IF(NOT(ISNUMBER(F164)),"Cours invalide",IF(F164&lt;=0,"Cours invalide",IF(G164&lt;&gt;B164,"Cours périmé","OK")))))</x:f>
        <x:v>Clé cours absente/dupliquée</x:v>
      </x:c>
      <x:c r="N164" s="30" t="n">
        <x:f>COUNTIFS('Dépositaire'!$O$7:$O$106,B164,'Dépositaire'!$P$7:$P$106,C164)</x:f>
        <x:v>0</x:v>
      </x:c>
      <x:c r="O164" s="30"/>
      <x:c r="P164" s="30"/>
      <x:c r="Q164" s="30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36" t="n">
        <x:v>46297</x:v>
      </x:c>
      <x:c r="C165" s="30" t="str">
        <x:v>FR0000120321</x:v>
      </x:c>
      <x:c r="D165" s="30" t="n">
        <x:f>SUMIFS($M$7:$M$76,$G$7:$G$76,C165,$D$7:$D$76,"&lt;="&amp;B165)</x:f>
        <x:v>275</x:v>
      </x:c>
      <x:c r="E165" s="30" t="n">
        <x:f>SUMIFS($M$7:$M$76,$G$7:$G$76,C165,$D$7:$D$76,"&lt;="&amp;B165,$F$7:$F$76,"&gt;0",$F$7:$F$76,"&lt;="&amp;B165)</x:f>
        <x:v>275</x:v>
      </x:c>
      <x:c r="F165" s="32" t="str">
        <x:f>IF(H165&lt;&gt;1,"n.d.",IF(COUNTIFS('Anomalies'!$C$19:$C$23,"FR0000120321_2026-10-02",'Anomalies'!$D$19:$D$23,"CoursEUR",'Anomalies'!$F$19:$F$23,"OUI")=1,SUMIFS('Anomalies'!$E$19:$E$23,'Anomalies'!$C$19:$C$23,"FR0000120321_2026-10-02",'Anomalies'!$D$19:$D$23,"CoursEUR",'Anomalies'!$F$19:$F$23,"OUI"),SUMIFS('Marché'!$E$7:$E$106,'Marché'!$C$7:$C$106,B165,'Marché'!$D$7:$D$106,C165)))</x:f>
        <x:v>n.d.</x:v>
      </x:c>
      <x:c r="G165" s="36" t="str">
        <x:f>IF(H165&lt;&gt;1,"",IF(COUNTIFS('Anomalies'!$C$19:$C$23,"FR0000120321_2026-10-02",'Anomalies'!$D$19:$D$23,"CoursEUR",'Anomalies'!$F$19:$F$23,"OUI")=1,B165,SUMIFS('Marché'!$F$7:$F$106,'Marché'!$C$7:$C$106,B165,'Marché'!$D$7:$D$106,C165)))</x:f>
      </x:c>
      <x:c r="H165" s="30" t="n">
        <x:f>COUNTIFS('Marché'!$C$7:$C$106,B165,'Marché'!$D$7:$D$106,C165)</x:f>
        <x:v>0</x:v>
      </x:c>
      <x:c r="I165" s="32" t="str">
        <x:f>IF(M165="OK",D165*F165,"n.d.")</x:f>
        <x:v>n.d.</x:v>
      </x:c>
      <x:c r="J165" s="30" t="str">
        <x:f>IF(N165=1,SUMIFS('Dépositaire'!$Q$7:$Q$106,'Dépositaire'!$O$7:$O$106,B165,'Dépositaire'!$P$7:$P$106,C165),"n.d.")</x:f>
        <x:v>n.d.</x:v>
      </x:c>
      <x:c r="K165" s="30" t="str">
        <x:f>IF(ISNUMBER(J165),E165-J165,"n.d.")</x:f>
        <x:v>n.d.</x:v>
      </x:c>
      <x:c r="L165" s="37" t="str">
        <x:f>IF(OR(D165&lt;0,E165&lt;0),"Position négative","OK")</x:f>
        <x:v>OK</x:v>
      </x:c>
      <x:c r="M165" s="37" t="str">
        <x:f>IF(COUNTIFS('Marché'!$B$7:$B$106,"FR0000120321_2026-10-02")&lt;&gt;1,"Clé cours absente/dupliquée",IF(H165&lt;&gt;1,"Cours absent ou dupliqué",IF(NOT(ISNUMBER(F165)),"Cours invalide",IF(F165&lt;=0,"Cours invalide",IF(G165&lt;&gt;B165,"Cours périmé","OK")))))</x:f>
        <x:v>Clé cours absente/dupliquée</x:v>
      </x:c>
      <x:c r="N165" s="30" t="n">
        <x:f>COUNTIFS('Dépositaire'!$O$7:$O$106,B165,'Dépositaire'!$P$7:$P$106,C165)</x:f>
        <x:v>0</x:v>
      </x:c>
      <x:c r="O165" s="30"/>
      <x:c r="P165" s="30"/>
      <x:c r="Q165" s="30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36" t="n">
        <x:v>46300</x:v>
      </x:c>
      <x:c r="C166" s="30" t="str">
        <x:v>FR0000120073</x:v>
      </x:c>
      <x:c r="D166" s="30" t="n">
        <x:f>SUMIFS($M$7:$M$76,$G$7:$G$76,C166,$D$7:$D$76,"&lt;="&amp;B166)</x:f>
        <x:v>720</x:v>
      </x:c>
      <x:c r="E166" s="30" t="n">
        <x:f>SUMIFS($M$7:$M$76,$G$7:$G$76,C166,$D$7:$D$76,"&lt;="&amp;B166,$F$7:$F$76,"&gt;0",$F$7:$F$76,"&lt;="&amp;B166)</x:f>
        <x:v>720</x:v>
      </x:c>
      <x:c r="F166" s="32" t="str">
        <x:f>IF(H166&lt;&gt;1,"n.d.",IF(COUNTIFS('Anomalies'!$C$19:$C$23,"FR0000120073_2026-10-05",'Anomalies'!$D$19:$D$23,"CoursEUR",'Anomalies'!$F$19:$F$23,"OUI")=1,SUMIFS('Anomalies'!$E$19:$E$23,'Anomalies'!$C$19:$C$23,"FR0000120073_2026-10-05",'Anomalies'!$D$19:$D$23,"CoursEUR",'Anomalies'!$F$19:$F$23,"OUI"),SUMIFS('Marché'!$E$7:$E$106,'Marché'!$C$7:$C$106,B166,'Marché'!$D$7:$D$106,C166)))</x:f>
        <x:v>n.d.</x:v>
      </x:c>
      <x:c r="G166" s="36" t="str">
        <x:f>IF(H166&lt;&gt;1,"",IF(COUNTIFS('Anomalies'!$C$19:$C$23,"FR0000120073_2026-10-05",'Anomalies'!$D$19:$D$23,"CoursEUR",'Anomalies'!$F$19:$F$23,"OUI")=1,B166,SUMIFS('Marché'!$F$7:$F$106,'Marché'!$C$7:$C$106,B166,'Marché'!$D$7:$D$106,C166)))</x:f>
      </x:c>
      <x:c r="H166" s="30" t="n">
        <x:f>COUNTIFS('Marché'!$C$7:$C$106,B166,'Marché'!$D$7:$D$106,C166)</x:f>
        <x:v>0</x:v>
      </x:c>
      <x:c r="I166" s="32" t="str">
        <x:f>IF(M166="OK",D166*F166,"n.d.")</x:f>
        <x:v>n.d.</x:v>
      </x:c>
      <x:c r="J166" s="30" t="str">
        <x:f>IF(N166=1,SUMIFS('Dépositaire'!$Q$7:$Q$106,'Dépositaire'!$O$7:$O$106,B166,'Dépositaire'!$P$7:$P$106,C166),"n.d.")</x:f>
        <x:v>n.d.</x:v>
      </x:c>
      <x:c r="K166" s="30" t="str">
        <x:f>IF(ISNUMBER(J166),E166-J166,"n.d.")</x:f>
        <x:v>n.d.</x:v>
      </x:c>
      <x:c r="L166" s="37" t="str">
        <x:f>IF(OR(D166&lt;0,E166&lt;0),"Position négative","OK")</x:f>
        <x:v>OK</x:v>
      </x:c>
      <x:c r="M166" s="37" t="str">
        <x:f>IF(COUNTIFS('Marché'!$B$7:$B$106,"FR0000120073_2026-10-05")&lt;&gt;1,"Clé cours absente/dupliquée",IF(H166&lt;&gt;1,"Cours absent ou dupliqué",IF(NOT(ISNUMBER(F166)),"Cours invalide",IF(F166&lt;=0,"Cours invalide",IF(G166&lt;&gt;B166,"Cours périmé","OK")))))</x:f>
        <x:v>Clé cours absente/dupliquée</x:v>
      </x:c>
      <x:c r="N166" s="30" t="n">
        <x:f>COUNTIFS('Dépositaire'!$O$7:$O$106,B166,'Dépositaire'!$P$7:$P$106,C166)</x:f>
        <x:v>0</x:v>
      </x:c>
      <x:c r="O166" s="30"/>
      <x:c r="P166" s="30"/>
      <x:c r="Q166" s="30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36" t="n">
        <x:v>46300</x:v>
      </x:c>
      <x:c r="C167" s="30" t="str">
        <x:v>FR0000121972</x:v>
      </x:c>
      <x:c r="D167" s="30" t="n">
        <x:f>SUMIFS($M$7:$M$76,$G$7:$G$76,C167,$D$7:$D$76,"&lt;="&amp;B167)</x:f>
        <x:v>425</x:v>
      </x:c>
      <x:c r="E167" s="30" t="n">
        <x:f>SUMIFS($M$7:$M$76,$G$7:$G$76,C167,$D$7:$D$76,"&lt;="&amp;B167,$F$7:$F$76,"&gt;0",$F$7:$F$76,"&lt;="&amp;B167)</x:f>
        <x:v>425</x:v>
      </x:c>
      <x:c r="F167" s="32" t="str">
        <x:f>IF(H167&lt;&gt;1,"n.d.",IF(COUNTIFS('Anomalies'!$C$19:$C$23,"FR0000121972_2026-10-05",'Anomalies'!$D$19:$D$23,"CoursEUR",'Anomalies'!$F$19:$F$23,"OUI")=1,SUMIFS('Anomalies'!$E$19:$E$23,'Anomalies'!$C$19:$C$23,"FR0000121972_2026-10-05",'Anomalies'!$D$19:$D$23,"CoursEUR",'Anomalies'!$F$19:$F$23,"OUI"),SUMIFS('Marché'!$E$7:$E$106,'Marché'!$C$7:$C$106,B167,'Marché'!$D$7:$D$106,C167)))</x:f>
        <x:v>n.d.</x:v>
      </x:c>
      <x:c r="G167" s="36" t="str">
        <x:f>IF(H167&lt;&gt;1,"",IF(COUNTIFS('Anomalies'!$C$19:$C$23,"FR0000121972_2026-10-05",'Anomalies'!$D$19:$D$23,"CoursEUR",'Anomalies'!$F$19:$F$23,"OUI")=1,B167,SUMIFS('Marché'!$F$7:$F$106,'Marché'!$C$7:$C$106,B167,'Marché'!$D$7:$D$106,C167)))</x:f>
      </x:c>
      <x:c r="H167" s="30" t="n">
        <x:f>COUNTIFS('Marché'!$C$7:$C$106,B167,'Marché'!$D$7:$D$106,C167)</x:f>
        <x:v>0</x:v>
      </x:c>
      <x:c r="I167" s="32" t="str">
        <x:f>IF(M167="OK",D167*F167,"n.d.")</x:f>
        <x:v>n.d.</x:v>
      </x:c>
      <x:c r="J167" s="30" t="str">
        <x:f>IF(N167=1,SUMIFS('Dépositaire'!$Q$7:$Q$106,'Dépositaire'!$O$7:$O$106,B167,'Dépositaire'!$P$7:$P$106,C167),"n.d.")</x:f>
        <x:v>n.d.</x:v>
      </x:c>
      <x:c r="K167" s="30" t="str">
        <x:f>IF(ISNUMBER(J167),E167-J167,"n.d.")</x:f>
        <x:v>n.d.</x:v>
      </x:c>
      <x:c r="L167" s="37" t="str">
        <x:f>IF(OR(D167&lt;0,E167&lt;0),"Position négative","OK")</x:f>
        <x:v>OK</x:v>
      </x:c>
      <x:c r="M167" s="37" t="str">
        <x:f>IF(COUNTIFS('Marché'!$B$7:$B$106,"FR0000121972_2026-10-05")&lt;&gt;1,"Clé cours absente/dupliquée",IF(H167&lt;&gt;1,"Cours absent ou dupliqué",IF(NOT(ISNUMBER(F167)),"Cours invalide",IF(F167&lt;=0,"Cours invalide",IF(G167&lt;&gt;B167,"Cours périmé","OK")))))</x:f>
        <x:v>Clé cours absente/dupliquée</x:v>
      </x:c>
      <x:c r="N167" s="30" t="n">
        <x:f>COUNTIFS('Dépositaire'!$O$7:$O$106,B167,'Dépositaire'!$P$7:$P$106,C167)</x:f>
        <x:v>0</x:v>
      </x:c>
      <x:c r="O167" s="30"/>
      <x:c r="P167" s="30"/>
      <x:c r="Q167" s="30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36" t="n">
        <x:v>46300</x:v>
      </x:c>
      <x:c r="C168" s="30" t="str">
        <x:v>FR0000120644</x:v>
      </x:c>
      <x:c r="D168" s="30" t="n">
        <x:f>SUMIFS($M$7:$M$76,$G$7:$G$76,C168,$D$7:$D$76,"&lt;="&amp;B168)</x:f>
        <x:v>1775</x:v>
      </x:c>
      <x:c r="E168" s="30" t="n">
        <x:f>SUMIFS($M$7:$M$76,$G$7:$G$76,C168,$D$7:$D$76,"&lt;="&amp;B168,$F$7:$F$76,"&gt;0",$F$7:$F$76,"&lt;="&amp;B168)</x:f>
        <x:v>1775</x:v>
      </x:c>
      <x:c r="F168" s="32" t="str">
        <x:f>IF(H168&lt;&gt;1,"n.d.",IF(COUNTIFS('Anomalies'!$C$19:$C$23,"FR0000120644_2026-10-05",'Anomalies'!$D$19:$D$23,"CoursEUR",'Anomalies'!$F$19:$F$23,"OUI")=1,SUMIFS('Anomalies'!$E$19:$E$23,'Anomalies'!$C$19:$C$23,"FR0000120644_2026-10-05",'Anomalies'!$D$19:$D$23,"CoursEUR",'Anomalies'!$F$19:$F$23,"OUI"),SUMIFS('Marché'!$E$7:$E$106,'Marché'!$C$7:$C$106,B168,'Marché'!$D$7:$D$106,C168)))</x:f>
        <x:v>n.d.</x:v>
      </x:c>
      <x:c r="G168" s="36" t="str">
        <x:f>IF(H168&lt;&gt;1,"",IF(COUNTIFS('Anomalies'!$C$19:$C$23,"FR0000120644_2026-10-05",'Anomalies'!$D$19:$D$23,"CoursEUR",'Anomalies'!$F$19:$F$23,"OUI")=1,B168,SUMIFS('Marché'!$F$7:$F$106,'Marché'!$C$7:$C$106,B168,'Marché'!$D$7:$D$106,C168)))</x:f>
      </x:c>
      <x:c r="H168" s="30" t="n">
        <x:f>COUNTIFS('Marché'!$C$7:$C$106,B168,'Marché'!$D$7:$D$106,C168)</x:f>
        <x:v>0</x:v>
      </x:c>
      <x:c r="I168" s="32" t="str">
        <x:f>IF(M168="OK",D168*F168,"n.d.")</x:f>
        <x:v>n.d.</x:v>
      </x:c>
      <x:c r="J168" s="30" t="str">
        <x:f>IF(N168=1,SUMIFS('Dépositaire'!$Q$7:$Q$106,'Dépositaire'!$O$7:$O$106,B168,'Dépositaire'!$P$7:$P$106,C168),"n.d.")</x:f>
        <x:v>n.d.</x:v>
      </x:c>
      <x:c r="K168" s="30" t="str">
        <x:f>IF(ISNUMBER(J168),E168-J168,"n.d.")</x:f>
        <x:v>n.d.</x:v>
      </x:c>
      <x:c r="L168" s="37" t="str">
        <x:f>IF(OR(D168&lt;0,E168&lt;0),"Position négative","OK")</x:f>
        <x:v>OK</x:v>
      </x:c>
      <x:c r="M168" s="37" t="str">
        <x:f>IF(COUNTIFS('Marché'!$B$7:$B$106,"FR0000120644_2026-10-05")&lt;&gt;1,"Clé cours absente/dupliquée",IF(H168&lt;&gt;1,"Cours absent ou dupliqué",IF(NOT(ISNUMBER(F168)),"Cours invalide",IF(F168&lt;=0,"Cours invalide",IF(G168&lt;&gt;B168,"Cours périmé","OK")))))</x:f>
        <x:v>Clé cours absente/dupliquée</x:v>
      </x:c>
      <x:c r="N168" s="30" t="n">
        <x:f>COUNTIFS('Dépositaire'!$O$7:$O$106,B168,'Dépositaire'!$P$7:$P$106,C168)</x:f>
        <x:v>0</x:v>
      </x:c>
      <x:c r="O168" s="30"/>
      <x:c r="P168" s="30"/>
      <x:c r="Q168" s="30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36" t="n">
        <x:v>46300</x:v>
      </x:c>
      <x:c r="C169" s="30" t="str">
        <x:v>FR0000125486</x:v>
      </x:c>
      <x:c r="D169" s="30" t="n">
        <x:f>SUMIFS($M$7:$M$76,$G$7:$G$76,C169,$D$7:$D$76,"&lt;="&amp;B169)</x:f>
        <x:v>930</x:v>
      </x:c>
      <x:c r="E169" s="30" t="n">
        <x:f>SUMIFS($M$7:$M$76,$G$7:$G$76,C169,$D$7:$D$76,"&lt;="&amp;B169,$F$7:$F$76,"&gt;0",$F$7:$F$76,"&lt;="&amp;B169)</x:f>
        <x:v>930</x:v>
      </x:c>
      <x:c r="F169" s="32" t="str">
        <x:f>IF(H169&lt;&gt;1,"n.d.",IF(COUNTIFS('Anomalies'!$C$19:$C$23,"FR0000125486_2026-10-05",'Anomalies'!$D$19:$D$23,"CoursEUR",'Anomalies'!$F$19:$F$23,"OUI")=1,SUMIFS('Anomalies'!$E$19:$E$23,'Anomalies'!$C$19:$C$23,"FR0000125486_2026-10-05",'Anomalies'!$D$19:$D$23,"CoursEUR",'Anomalies'!$F$19:$F$23,"OUI"),SUMIFS('Marché'!$E$7:$E$106,'Marché'!$C$7:$C$106,B169,'Marché'!$D$7:$D$106,C169)))</x:f>
        <x:v>n.d.</x:v>
      </x:c>
      <x:c r="G169" s="36" t="str">
        <x:f>IF(H169&lt;&gt;1,"",IF(COUNTIFS('Anomalies'!$C$19:$C$23,"FR0000125486_2026-10-05",'Anomalies'!$D$19:$D$23,"CoursEUR",'Anomalies'!$F$19:$F$23,"OUI")=1,B169,SUMIFS('Marché'!$F$7:$F$106,'Marché'!$C$7:$C$106,B169,'Marché'!$D$7:$D$106,C169)))</x:f>
      </x:c>
      <x:c r="H169" s="30" t="n">
        <x:f>COUNTIFS('Marché'!$C$7:$C$106,B169,'Marché'!$D$7:$D$106,C169)</x:f>
        <x:v>0</x:v>
      </x:c>
      <x:c r="I169" s="32" t="str">
        <x:f>IF(M169="OK",D169*F169,"n.d.")</x:f>
        <x:v>n.d.</x:v>
      </x:c>
      <x:c r="J169" s="30" t="str">
        <x:f>IF(N169=1,SUMIFS('Dépositaire'!$Q$7:$Q$106,'Dépositaire'!$O$7:$O$106,B169,'Dépositaire'!$P$7:$P$106,C169),"n.d.")</x:f>
        <x:v>n.d.</x:v>
      </x:c>
      <x:c r="K169" s="30" t="str">
        <x:f>IF(ISNUMBER(J169),E169-J169,"n.d.")</x:f>
        <x:v>n.d.</x:v>
      </x:c>
      <x:c r="L169" s="37" t="str">
        <x:f>IF(OR(D169&lt;0,E169&lt;0),"Position négative","OK")</x:f>
        <x:v>OK</x:v>
      </x:c>
      <x:c r="M169" s="37" t="str">
        <x:f>IF(COUNTIFS('Marché'!$B$7:$B$106,"FR0000125486_2026-10-05")&lt;&gt;1,"Clé cours absente/dupliquée",IF(H169&lt;&gt;1,"Cours absent ou dupliqué",IF(NOT(ISNUMBER(F169)),"Cours invalide",IF(F169&lt;=0,"Cours invalide",IF(G169&lt;&gt;B169,"Cours périmé","OK")))))</x:f>
        <x:v>Clé cours absente/dupliquée</x:v>
      </x:c>
      <x:c r="N169" s="30" t="n">
        <x:f>COUNTIFS('Dépositaire'!$O$7:$O$106,B169,'Dépositaire'!$P$7:$P$106,C169)</x:f>
        <x:v>0</x:v>
      </x:c>
      <x:c r="O169" s="30"/>
      <x:c r="P169" s="30"/>
      <x:c r="Q169" s="30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36" t="n">
        <x:v>46300</x:v>
      </x:c>
      <x:c r="C170" s="30" t="str">
        <x:v>FR0000120321</x:v>
      </x:c>
      <x:c r="D170" s="30" t="n">
        <x:f>SUMIFS($M$7:$M$76,$G$7:$G$76,C170,$D$7:$D$76,"&lt;="&amp;B170)</x:f>
        <x:v>275</x:v>
      </x:c>
      <x:c r="E170" s="30" t="n">
        <x:f>SUMIFS($M$7:$M$76,$G$7:$G$76,C170,$D$7:$D$76,"&lt;="&amp;B170,$F$7:$F$76,"&gt;0",$F$7:$F$76,"&lt;="&amp;B170)</x:f>
        <x:v>275</x:v>
      </x:c>
      <x:c r="F170" s="32" t="str">
        <x:f>IF(H170&lt;&gt;1,"n.d.",IF(COUNTIFS('Anomalies'!$C$19:$C$23,"FR0000120321_2026-10-05",'Anomalies'!$D$19:$D$23,"CoursEUR",'Anomalies'!$F$19:$F$23,"OUI")=1,SUMIFS('Anomalies'!$E$19:$E$23,'Anomalies'!$C$19:$C$23,"FR0000120321_2026-10-05",'Anomalies'!$D$19:$D$23,"CoursEUR",'Anomalies'!$F$19:$F$23,"OUI"),SUMIFS('Marché'!$E$7:$E$106,'Marché'!$C$7:$C$106,B170,'Marché'!$D$7:$D$106,C170)))</x:f>
        <x:v>n.d.</x:v>
      </x:c>
      <x:c r="G170" s="36" t="str">
        <x:f>IF(H170&lt;&gt;1,"",IF(COUNTIFS('Anomalies'!$C$19:$C$23,"FR0000120321_2026-10-05",'Anomalies'!$D$19:$D$23,"CoursEUR",'Anomalies'!$F$19:$F$23,"OUI")=1,B170,SUMIFS('Marché'!$F$7:$F$106,'Marché'!$C$7:$C$106,B170,'Marché'!$D$7:$D$106,C170)))</x:f>
      </x:c>
      <x:c r="H170" s="30" t="n">
        <x:f>COUNTIFS('Marché'!$C$7:$C$106,B170,'Marché'!$D$7:$D$106,C170)</x:f>
        <x:v>0</x:v>
      </x:c>
      <x:c r="I170" s="32" t="str">
        <x:f>IF(M170="OK",D170*F170,"n.d.")</x:f>
        <x:v>n.d.</x:v>
      </x:c>
      <x:c r="J170" s="30" t="str">
        <x:f>IF(N170=1,SUMIFS('Dépositaire'!$Q$7:$Q$106,'Dépositaire'!$O$7:$O$106,B170,'Dépositaire'!$P$7:$P$106,C170),"n.d.")</x:f>
        <x:v>n.d.</x:v>
      </x:c>
      <x:c r="K170" s="30" t="str">
        <x:f>IF(ISNUMBER(J170),E170-J170,"n.d.")</x:f>
        <x:v>n.d.</x:v>
      </x:c>
      <x:c r="L170" s="37" t="str">
        <x:f>IF(OR(D170&lt;0,E170&lt;0),"Position négative","OK")</x:f>
        <x:v>OK</x:v>
      </x:c>
      <x:c r="M170" s="37" t="str">
        <x:f>IF(COUNTIFS('Marché'!$B$7:$B$106,"FR0000120321_2026-10-05")&lt;&gt;1,"Clé cours absente/dupliquée",IF(H170&lt;&gt;1,"Cours absent ou dupliqué",IF(NOT(ISNUMBER(F170)),"Cours invalide",IF(F170&lt;=0,"Cours invalide",IF(G170&lt;&gt;B170,"Cours périmé","OK")))))</x:f>
        <x:v>Clé cours absente/dupliquée</x:v>
      </x:c>
      <x:c r="N170" s="30" t="n">
        <x:f>COUNTIFS('Dépositaire'!$O$7:$O$106,B170,'Dépositaire'!$P$7:$P$106,C170)</x:f>
        <x:v>0</x:v>
      </x:c>
      <x:c r="O170" s="30"/>
      <x:c r="P170" s="30"/>
      <x:c r="Q170" s="30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36" t="n">
        <x:v>46301</x:v>
      </x:c>
      <x:c r="C171" s="30" t="str">
        <x:v>FR0000120073</x:v>
      </x:c>
      <x:c r="D171" s="30" t="n">
        <x:f>SUMIFS($M$7:$M$76,$G$7:$G$76,C171,$D$7:$D$76,"&lt;="&amp;B171)</x:f>
        <x:v>720</x:v>
      </x:c>
      <x:c r="E171" s="30" t="n">
        <x:f>SUMIFS($M$7:$M$76,$G$7:$G$76,C171,$D$7:$D$76,"&lt;="&amp;B171,$F$7:$F$76,"&gt;0",$F$7:$F$76,"&lt;="&amp;B171)</x:f>
        <x:v>720</x:v>
      </x:c>
      <x:c r="F171" s="32" t="str">
        <x:f>IF(H171&lt;&gt;1,"n.d.",IF(COUNTIFS('Anomalies'!$C$19:$C$23,"FR0000120073_2026-10-06",'Anomalies'!$D$19:$D$23,"CoursEUR",'Anomalies'!$F$19:$F$23,"OUI")=1,SUMIFS('Anomalies'!$E$19:$E$23,'Anomalies'!$C$19:$C$23,"FR0000120073_2026-10-06",'Anomalies'!$D$19:$D$23,"CoursEUR",'Anomalies'!$F$19:$F$23,"OUI"),SUMIFS('Marché'!$E$7:$E$106,'Marché'!$C$7:$C$106,B171,'Marché'!$D$7:$D$106,C171)))</x:f>
        <x:v>n.d.</x:v>
      </x:c>
      <x:c r="G171" s="36" t="str">
        <x:f>IF(H171&lt;&gt;1,"",IF(COUNTIFS('Anomalies'!$C$19:$C$23,"FR0000120073_2026-10-06",'Anomalies'!$D$19:$D$23,"CoursEUR",'Anomalies'!$F$19:$F$23,"OUI")=1,B171,SUMIFS('Marché'!$F$7:$F$106,'Marché'!$C$7:$C$106,B171,'Marché'!$D$7:$D$106,C171)))</x:f>
      </x:c>
      <x:c r="H171" s="30" t="n">
        <x:f>COUNTIFS('Marché'!$C$7:$C$106,B171,'Marché'!$D$7:$D$106,C171)</x:f>
        <x:v>0</x:v>
      </x:c>
      <x:c r="I171" s="32" t="str">
        <x:f>IF(M171="OK",D171*F171,"n.d.")</x:f>
        <x:v>n.d.</x:v>
      </x:c>
      <x:c r="J171" s="30" t="str">
        <x:f>IF(N171=1,SUMIFS('Dépositaire'!$Q$7:$Q$106,'Dépositaire'!$O$7:$O$106,B171,'Dépositaire'!$P$7:$P$106,C171),"n.d.")</x:f>
        <x:v>n.d.</x:v>
      </x:c>
      <x:c r="K171" s="30" t="str">
        <x:f>IF(ISNUMBER(J171),E171-J171,"n.d.")</x:f>
        <x:v>n.d.</x:v>
      </x:c>
      <x:c r="L171" s="37" t="str">
        <x:f>IF(OR(D171&lt;0,E171&lt;0),"Position négative","OK")</x:f>
        <x:v>OK</x:v>
      </x:c>
      <x:c r="M171" s="37" t="str">
        <x:f>IF(COUNTIFS('Marché'!$B$7:$B$106,"FR0000120073_2026-10-06")&lt;&gt;1,"Clé cours absente/dupliquée",IF(H171&lt;&gt;1,"Cours absent ou dupliqué",IF(NOT(ISNUMBER(F171)),"Cours invalide",IF(F171&lt;=0,"Cours invalide",IF(G171&lt;&gt;B171,"Cours périmé","OK")))))</x:f>
        <x:v>Clé cours absente/dupliquée</x:v>
      </x:c>
      <x:c r="N171" s="30" t="n">
        <x:f>COUNTIFS('Dépositaire'!$O$7:$O$106,B171,'Dépositaire'!$P$7:$P$106,C171)</x:f>
        <x:v>0</x:v>
      </x:c>
      <x:c r="O171" s="30"/>
      <x:c r="P171" s="30"/>
      <x:c r="Q171" s="30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36" t="n">
        <x:v>46301</x:v>
      </x:c>
      <x:c r="C172" s="30" t="str">
        <x:v>FR0000121972</x:v>
      </x:c>
      <x:c r="D172" s="30" t="n">
        <x:f>SUMIFS($M$7:$M$76,$G$7:$G$76,C172,$D$7:$D$76,"&lt;="&amp;B172)</x:f>
        <x:v>425</x:v>
      </x:c>
      <x:c r="E172" s="30" t="n">
        <x:f>SUMIFS($M$7:$M$76,$G$7:$G$76,C172,$D$7:$D$76,"&lt;="&amp;B172,$F$7:$F$76,"&gt;0",$F$7:$F$76,"&lt;="&amp;B172)</x:f>
        <x:v>425</x:v>
      </x:c>
      <x:c r="F172" s="32" t="str">
        <x:f>IF(H172&lt;&gt;1,"n.d.",IF(COUNTIFS('Anomalies'!$C$19:$C$23,"FR0000121972_2026-10-06",'Anomalies'!$D$19:$D$23,"CoursEUR",'Anomalies'!$F$19:$F$23,"OUI")=1,SUMIFS('Anomalies'!$E$19:$E$23,'Anomalies'!$C$19:$C$23,"FR0000121972_2026-10-06",'Anomalies'!$D$19:$D$23,"CoursEUR",'Anomalies'!$F$19:$F$23,"OUI"),SUMIFS('Marché'!$E$7:$E$106,'Marché'!$C$7:$C$106,B172,'Marché'!$D$7:$D$106,C172)))</x:f>
        <x:v>n.d.</x:v>
      </x:c>
      <x:c r="G172" s="36" t="str">
        <x:f>IF(H172&lt;&gt;1,"",IF(COUNTIFS('Anomalies'!$C$19:$C$23,"FR0000121972_2026-10-06",'Anomalies'!$D$19:$D$23,"CoursEUR",'Anomalies'!$F$19:$F$23,"OUI")=1,B172,SUMIFS('Marché'!$F$7:$F$106,'Marché'!$C$7:$C$106,B172,'Marché'!$D$7:$D$106,C172)))</x:f>
      </x:c>
      <x:c r="H172" s="30" t="n">
        <x:f>COUNTIFS('Marché'!$C$7:$C$106,B172,'Marché'!$D$7:$D$106,C172)</x:f>
        <x:v>0</x:v>
      </x:c>
      <x:c r="I172" s="32" t="str">
        <x:f>IF(M172="OK",D172*F172,"n.d.")</x:f>
        <x:v>n.d.</x:v>
      </x:c>
      <x:c r="J172" s="30" t="str">
        <x:f>IF(N172=1,SUMIFS('Dépositaire'!$Q$7:$Q$106,'Dépositaire'!$O$7:$O$106,B172,'Dépositaire'!$P$7:$P$106,C172),"n.d.")</x:f>
        <x:v>n.d.</x:v>
      </x:c>
      <x:c r="K172" s="30" t="str">
        <x:f>IF(ISNUMBER(J172),E172-J172,"n.d.")</x:f>
        <x:v>n.d.</x:v>
      </x:c>
      <x:c r="L172" s="37" t="str">
        <x:f>IF(OR(D172&lt;0,E172&lt;0),"Position négative","OK")</x:f>
        <x:v>OK</x:v>
      </x:c>
      <x:c r="M172" s="37" t="str">
        <x:f>IF(COUNTIFS('Marché'!$B$7:$B$106,"FR0000121972_2026-10-06")&lt;&gt;1,"Clé cours absente/dupliquée",IF(H172&lt;&gt;1,"Cours absent ou dupliqué",IF(NOT(ISNUMBER(F172)),"Cours invalide",IF(F172&lt;=0,"Cours invalide",IF(G172&lt;&gt;B172,"Cours périmé","OK")))))</x:f>
        <x:v>Clé cours absente/dupliquée</x:v>
      </x:c>
      <x:c r="N172" s="30" t="n">
        <x:f>COUNTIFS('Dépositaire'!$O$7:$O$106,B172,'Dépositaire'!$P$7:$P$106,C172)</x:f>
        <x:v>0</x:v>
      </x:c>
      <x:c r="O172" s="30"/>
      <x:c r="P172" s="30"/>
      <x:c r="Q172" s="30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36" t="n">
        <x:v>46301</x:v>
      </x:c>
      <x:c r="C173" s="30" t="str">
        <x:v>FR0000120644</x:v>
      </x:c>
      <x:c r="D173" s="30" t="n">
        <x:f>SUMIFS($M$7:$M$76,$G$7:$G$76,C173,$D$7:$D$76,"&lt;="&amp;B173)</x:f>
        <x:v>1775</x:v>
      </x:c>
      <x:c r="E173" s="30" t="n">
        <x:f>SUMIFS($M$7:$M$76,$G$7:$G$76,C173,$D$7:$D$76,"&lt;="&amp;B173,$F$7:$F$76,"&gt;0",$F$7:$F$76,"&lt;="&amp;B173)</x:f>
        <x:v>1775</x:v>
      </x:c>
      <x:c r="F173" s="32" t="str">
        <x:f>IF(H173&lt;&gt;1,"n.d.",IF(COUNTIFS('Anomalies'!$C$19:$C$23,"FR0000120644_2026-10-06",'Anomalies'!$D$19:$D$23,"CoursEUR",'Anomalies'!$F$19:$F$23,"OUI")=1,SUMIFS('Anomalies'!$E$19:$E$23,'Anomalies'!$C$19:$C$23,"FR0000120644_2026-10-06",'Anomalies'!$D$19:$D$23,"CoursEUR",'Anomalies'!$F$19:$F$23,"OUI"),SUMIFS('Marché'!$E$7:$E$106,'Marché'!$C$7:$C$106,B173,'Marché'!$D$7:$D$106,C173)))</x:f>
        <x:v>n.d.</x:v>
      </x:c>
      <x:c r="G173" s="36" t="str">
        <x:f>IF(H173&lt;&gt;1,"",IF(COUNTIFS('Anomalies'!$C$19:$C$23,"FR0000120644_2026-10-06",'Anomalies'!$D$19:$D$23,"CoursEUR",'Anomalies'!$F$19:$F$23,"OUI")=1,B173,SUMIFS('Marché'!$F$7:$F$106,'Marché'!$C$7:$C$106,B173,'Marché'!$D$7:$D$106,C173)))</x:f>
      </x:c>
      <x:c r="H173" s="30" t="n">
        <x:f>COUNTIFS('Marché'!$C$7:$C$106,B173,'Marché'!$D$7:$D$106,C173)</x:f>
        <x:v>0</x:v>
      </x:c>
      <x:c r="I173" s="32" t="str">
        <x:f>IF(M173="OK",D173*F173,"n.d.")</x:f>
        <x:v>n.d.</x:v>
      </x:c>
      <x:c r="J173" s="30" t="str">
        <x:f>IF(N173=1,SUMIFS('Dépositaire'!$Q$7:$Q$106,'Dépositaire'!$O$7:$O$106,B173,'Dépositaire'!$P$7:$P$106,C173),"n.d.")</x:f>
        <x:v>n.d.</x:v>
      </x:c>
      <x:c r="K173" s="30" t="str">
        <x:f>IF(ISNUMBER(J173),E173-J173,"n.d.")</x:f>
        <x:v>n.d.</x:v>
      </x:c>
      <x:c r="L173" s="37" t="str">
        <x:f>IF(OR(D173&lt;0,E173&lt;0),"Position négative","OK")</x:f>
        <x:v>OK</x:v>
      </x:c>
      <x:c r="M173" s="37" t="str">
        <x:f>IF(COUNTIFS('Marché'!$B$7:$B$106,"FR0000120644_2026-10-06")&lt;&gt;1,"Clé cours absente/dupliquée",IF(H173&lt;&gt;1,"Cours absent ou dupliqué",IF(NOT(ISNUMBER(F173)),"Cours invalide",IF(F173&lt;=0,"Cours invalide",IF(G173&lt;&gt;B173,"Cours périmé","OK")))))</x:f>
        <x:v>Clé cours absente/dupliquée</x:v>
      </x:c>
      <x:c r="N173" s="30" t="n">
        <x:f>COUNTIFS('Dépositaire'!$O$7:$O$106,B173,'Dépositaire'!$P$7:$P$106,C173)</x:f>
        <x:v>0</x:v>
      </x:c>
      <x:c r="O173" s="30"/>
      <x:c r="P173" s="30"/>
      <x:c r="Q173" s="30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36" t="n">
        <x:v>46301</x:v>
      </x:c>
      <x:c r="C174" s="30" t="str">
        <x:v>FR0000125486</x:v>
      </x:c>
      <x:c r="D174" s="30" t="n">
        <x:f>SUMIFS($M$7:$M$76,$G$7:$G$76,C174,$D$7:$D$76,"&lt;="&amp;B174)</x:f>
        <x:v>930</x:v>
      </x:c>
      <x:c r="E174" s="30" t="n">
        <x:f>SUMIFS($M$7:$M$76,$G$7:$G$76,C174,$D$7:$D$76,"&lt;="&amp;B174,$F$7:$F$76,"&gt;0",$F$7:$F$76,"&lt;="&amp;B174)</x:f>
        <x:v>930</x:v>
      </x:c>
      <x:c r="F174" s="32" t="str">
        <x:f>IF(H174&lt;&gt;1,"n.d.",IF(COUNTIFS('Anomalies'!$C$19:$C$23,"FR0000125486_2026-10-06",'Anomalies'!$D$19:$D$23,"CoursEUR",'Anomalies'!$F$19:$F$23,"OUI")=1,SUMIFS('Anomalies'!$E$19:$E$23,'Anomalies'!$C$19:$C$23,"FR0000125486_2026-10-06",'Anomalies'!$D$19:$D$23,"CoursEUR",'Anomalies'!$F$19:$F$23,"OUI"),SUMIFS('Marché'!$E$7:$E$106,'Marché'!$C$7:$C$106,B174,'Marché'!$D$7:$D$106,C174)))</x:f>
        <x:v>n.d.</x:v>
      </x:c>
      <x:c r="G174" s="36" t="str">
        <x:f>IF(H174&lt;&gt;1,"",IF(COUNTIFS('Anomalies'!$C$19:$C$23,"FR0000125486_2026-10-06",'Anomalies'!$D$19:$D$23,"CoursEUR",'Anomalies'!$F$19:$F$23,"OUI")=1,B174,SUMIFS('Marché'!$F$7:$F$106,'Marché'!$C$7:$C$106,B174,'Marché'!$D$7:$D$106,C174)))</x:f>
      </x:c>
      <x:c r="H174" s="30" t="n">
        <x:f>COUNTIFS('Marché'!$C$7:$C$106,B174,'Marché'!$D$7:$D$106,C174)</x:f>
        <x:v>0</x:v>
      </x:c>
      <x:c r="I174" s="32" t="str">
        <x:f>IF(M174="OK",D174*F174,"n.d.")</x:f>
        <x:v>n.d.</x:v>
      </x:c>
      <x:c r="J174" s="30" t="str">
        <x:f>IF(N174=1,SUMIFS('Dépositaire'!$Q$7:$Q$106,'Dépositaire'!$O$7:$O$106,B174,'Dépositaire'!$P$7:$P$106,C174),"n.d.")</x:f>
        <x:v>n.d.</x:v>
      </x:c>
      <x:c r="K174" s="30" t="str">
        <x:f>IF(ISNUMBER(J174),E174-J174,"n.d.")</x:f>
        <x:v>n.d.</x:v>
      </x:c>
      <x:c r="L174" s="37" t="str">
        <x:f>IF(OR(D174&lt;0,E174&lt;0),"Position négative","OK")</x:f>
        <x:v>OK</x:v>
      </x:c>
      <x:c r="M174" s="37" t="str">
        <x:f>IF(COUNTIFS('Marché'!$B$7:$B$106,"FR0000125486_2026-10-06")&lt;&gt;1,"Clé cours absente/dupliquée",IF(H174&lt;&gt;1,"Cours absent ou dupliqué",IF(NOT(ISNUMBER(F174)),"Cours invalide",IF(F174&lt;=0,"Cours invalide",IF(G174&lt;&gt;B174,"Cours périmé","OK")))))</x:f>
        <x:v>Clé cours absente/dupliquée</x:v>
      </x:c>
      <x:c r="N174" s="30" t="n">
        <x:f>COUNTIFS('Dépositaire'!$O$7:$O$106,B174,'Dépositaire'!$P$7:$P$106,C174)</x:f>
        <x:v>0</x:v>
      </x:c>
      <x:c r="O174" s="30"/>
      <x:c r="P174" s="30"/>
      <x:c r="Q174" s="30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36" t="n">
        <x:v>46301</x:v>
      </x:c>
      <x:c r="C175" s="30" t="str">
        <x:v>FR0000120321</x:v>
      </x:c>
      <x:c r="D175" s="30" t="n">
        <x:f>SUMIFS($M$7:$M$76,$G$7:$G$76,C175,$D$7:$D$76,"&lt;="&amp;B175)</x:f>
        <x:v>275</x:v>
      </x:c>
      <x:c r="E175" s="30" t="n">
        <x:f>SUMIFS($M$7:$M$76,$G$7:$G$76,C175,$D$7:$D$76,"&lt;="&amp;B175,$F$7:$F$76,"&gt;0",$F$7:$F$76,"&lt;="&amp;B175)</x:f>
        <x:v>275</x:v>
      </x:c>
      <x:c r="F175" s="32" t="str">
        <x:f>IF(H175&lt;&gt;1,"n.d.",IF(COUNTIFS('Anomalies'!$C$19:$C$23,"FR0000120321_2026-10-06",'Anomalies'!$D$19:$D$23,"CoursEUR",'Anomalies'!$F$19:$F$23,"OUI")=1,SUMIFS('Anomalies'!$E$19:$E$23,'Anomalies'!$C$19:$C$23,"FR0000120321_2026-10-06",'Anomalies'!$D$19:$D$23,"CoursEUR",'Anomalies'!$F$19:$F$23,"OUI"),SUMIFS('Marché'!$E$7:$E$106,'Marché'!$C$7:$C$106,B175,'Marché'!$D$7:$D$106,C175)))</x:f>
        <x:v>n.d.</x:v>
      </x:c>
      <x:c r="G175" s="36" t="str">
        <x:f>IF(H175&lt;&gt;1,"",IF(COUNTIFS('Anomalies'!$C$19:$C$23,"FR0000120321_2026-10-06",'Anomalies'!$D$19:$D$23,"CoursEUR",'Anomalies'!$F$19:$F$23,"OUI")=1,B175,SUMIFS('Marché'!$F$7:$F$106,'Marché'!$C$7:$C$106,B175,'Marché'!$D$7:$D$106,C175)))</x:f>
      </x:c>
      <x:c r="H175" s="30" t="n">
        <x:f>COUNTIFS('Marché'!$C$7:$C$106,B175,'Marché'!$D$7:$D$106,C175)</x:f>
        <x:v>0</x:v>
      </x:c>
      <x:c r="I175" s="32" t="str">
        <x:f>IF(M175="OK",D175*F175,"n.d.")</x:f>
        <x:v>n.d.</x:v>
      </x:c>
      <x:c r="J175" s="30" t="str">
        <x:f>IF(N175=1,SUMIFS('Dépositaire'!$Q$7:$Q$106,'Dépositaire'!$O$7:$O$106,B175,'Dépositaire'!$P$7:$P$106,C175),"n.d.")</x:f>
        <x:v>n.d.</x:v>
      </x:c>
      <x:c r="K175" s="30" t="str">
        <x:f>IF(ISNUMBER(J175),E175-J175,"n.d.")</x:f>
        <x:v>n.d.</x:v>
      </x:c>
      <x:c r="L175" s="37" t="str">
        <x:f>IF(OR(D175&lt;0,E175&lt;0),"Position négative","OK")</x:f>
        <x:v>OK</x:v>
      </x:c>
      <x:c r="M175" s="37" t="str">
        <x:f>IF(COUNTIFS('Marché'!$B$7:$B$106,"FR0000120321_2026-10-06")&lt;&gt;1,"Clé cours absente/dupliquée",IF(H175&lt;&gt;1,"Cours absent ou dupliqué",IF(NOT(ISNUMBER(F175)),"Cours invalide",IF(F175&lt;=0,"Cours invalide",IF(G175&lt;&gt;B175,"Cours périmé","OK")))))</x:f>
        <x:v>Clé cours absente/dupliquée</x:v>
      </x:c>
      <x:c r="N175" s="30" t="n">
        <x:f>COUNTIFS('Dépositaire'!$O$7:$O$106,B175,'Dépositaire'!$P$7:$P$106,C175)</x:f>
        <x:v>0</x:v>
      </x:c>
      <x:c r="O175" s="30"/>
      <x:c r="P175" s="30"/>
      <x:c r="Q175" s="30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36" t="n">
        <x:v>46302</x:v>
      </x:c>
      <x:c r="C176" s="30" t="str">
        <x:v>FR0000120073</x:v>
      </x:c>
      <x:c r="D176" s="30" t="n">
        <x:f>SUMIFS($M$7:$M$76,$G$7:$G$76,C176,$D$7:$D$76,"&lt;="&amp;B176)</x:f>
        <x:v>720</x:v>
      </x:c>
      <x:c r="E176" s="30" t="n">
        <x:f>SUMIFS($M$7:$M$76,$G$7:$G$76,C176,$D$7:$D$76,"&lt;="&amp;B176,$F$7:$F$76,"&gt;0",$F$7:$F$76,"&lt;="&amp;B176)</x:f>
        <x:v>720</x:v>
      </x:c>
      <x:c r="F176" s="32" t="str">
        <x:f>IF(H176&lt;&gt;1,"n.d.",IF(COUNTIFS('Anomalies'!$C$19:$C$23,"FR0000120073_2026-10-07",'Anomalies'!$D$19:$D$23,"CoursEUR",'Anomalies'!$F$19:$F$23,"OUI")=1,SUMIFS('Anomalies'!$E$19:$E$23,'Anomalies'!$C$19:$C$23,"FR0000120073_2026-10-07",'Anomalies'!$D$19:$D$23,"CoursEUR",'Anomalies'!$F$19:$F$23,"OUI"),SUMIFS('Marché'!$E$7:$E$106,'Marché'!$C$7:$C$106,B176,'Marché'!$D$7:$D$106,C176)))</x:f>
        <x:v>n.d.</x:v>
      </x:c>
      <x:c r="G176" s="36" t="str">
        <x:f>IF(H176&lt;&gt;1,"",IF(COUNTIFS('Anomalies'!$C$19:$C$23,"FR0000120073_2026-10-07",'Anomalies'!$D$19:$D$23,"CoursEUR",'Anomalies'!$F$19:$F$23,"OUI")=1,B176,SUMIFS('Marché'!$F$7:$F$106,'Marché'!$C$7:$C$106,B176,'Marché'!$D$7:$D$106,C176)))</x:f>
      </x:c>
      <x:c r="H176" s="30" t="n">
        <x:f>COUNTIFS('Marché'!$C$7:$C$106,B176,'Marché'!$D$7:$D$106,C176)</x:f>
        <x:v>0</x:v>
      </x:c>
      <x:c r="I176" s="32" t="str">
        <x:f>IF(M176="OK",D176*F176,"n.d.")</x:f>
        <x:v>n.d.</x:v>
      </x:c>
      <x:c r="J176" s="30" t="str">
        <x:f>IF(N176=1,SUMIFS('Dépositaire'!$Q$7:$Q$106,'Dépositaire'!$O$7:$O$106,B176,'Dépositaire'!$P$7:$P$106,C176),"n.d.")</x:f>
        <x:v>n.d.</x:v>
      </x:c>
      <x:c r="K176" s="30" t="str">
        <x:f>IF(ISNUMBER(J176),E176-J176,"n.d.")</x:f>
        <x:v>n.d.</x:v>
      </x:c>
      <x:c r="L176" s="37" t="str">
        <x:f>IF(OR(D176&lt;0,E176&lt;0),"Position négative","OK")</x:f>
        <x:v>OK</x:v>
      </x:c>
      <x:c r="M176" s="37" t="str">
        <x:f>IF(COUNTIFS('Marché'!$B$7:$B$106,"FR0000120073_2026-10-07")&lt;&gt;1,"Clé cours absente/dupliquée",IF(H176&lt;&gt;1,"Cours absent ou dupliqué",IF(NOT(ISNUMBER(F176)),"Cours invalide",IF(F176&lt;=0,"Cours invalide",IF(G176&lt;&gt;B176,"Cours périmé","OK")))))</x:f>
        <x:v>Clé cours absente/dupliquée</x:v>
      </x:c>
      <x:c r="N176" s="30" t="n">
        <x:f>COUNTIFS('Dépositaire'!$O$7:$O$106,B176,'Dépositaire'!$P$7:$P$106,C176)</x:f>
        <x:v>0</x:v>
      </x:c>
      <x:c r="O176" s="30"/>
      <x:c r="P176" s="30"/>
      <x:c r="Q176" s="30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36" t="n">
        <x:v>46302</x:v>
      </x:c>
      <x:c r="C177" s="30" t="str">
        <x:v>FR0000121972</x:v>
      </x:c>
      <x:c r="D177" s="30" t="n">
        <x:f>SUMIFS($M$7:$M$76,$G$7:$G$76,C177,$D$7:$D$76,"&lt;="&amp;B177)</x:f>
        <x:v>425</x:v>
      </x:c>
      <x:c r="E177" s="30" t="n">
        <x:f>SUMIFS($M$7:$M$76,$G$7:$G$76,C177,$D$7:$D$76,"&lt;="&amp;B177,$F$7:$F$76,"&gt;0",$F$7:$F$76,"&lt;="&amp;B177)</x:f>
        <x:v>425</x:v>
      </x:c>
      <x:c r="F177" s="32" t="str">
        <x:f>IF(H177&lt;&gt;1,"n.d.",IF(COUNTIFS('Anomalies'!$C$19:$C$23,"FR0000121972_2026-10-07",'Anomalies'!$D$19:$D$23,"CoursEUR",'Anomalies'!$F$19:$F$23,"OUI")=1,SUMIFS('Anomalies'!$E$19:$E$23,'Anomalies'!$C$19:$C$23,"FR0000121972_2026-10-07",'Anomalies'!$D$19:$D$23,"CoursEUR",'Anomalies'!$F$19:$F$23,"OUI"),SUMIFS('Marché'!$E$7:$E$106,'Marché'!$C$7:$C$106,B177,'Marché'!$D$7:$D$106,C177)))</x:f>
        <x:v>n.d.</x:v>
      </x:c>
      <x:c r="G177" s="36" t="str">
        <x:f>IF(H177&lt;&gt;1,"",IF(COUNTIFS('Anomalies'!$C$19:$C$23,"FR0000121972_2026-10-07",'Anomalies'!$D$19:$D$23,"CoursEUR",'Anomalies'!$F$19:$F$23,"OUI")=1,B177,SUMIFS('Marché'!$F$7:$F$106,'Marché'!$C$7:$C$106,B177,'Marché'!$D$7:$D$106,C177)))</x:f>
      </x:c>
      <x:c r="H177" s="30" t="n">
        <x:f>COUNTIFS('Marché'!$C$7:$C$106,B177,'Marché'!$D$7:$D$106,C177)</x:f>
        <x:v>0</x:v>
      </x:c>
      <x:c r="I177" s="32" t="str">
        <x:f>IF(M177="OK",D177*F177,"n.d.")</x:f>
        <x:v>n.d.</x:v>
      </x:c>
      <x:c r="J177" s="30" t="str">
        <x:f>IF(N177=1,SUMIFS('Dépositaire'!$Q$7:$Q$106,'Dépositaire'!$O$7:$O$106,B177,'Dépositaire'!$P$7:$P$106,C177),"n.d.")</x:f>
        <x:v>n.d.</x:v>
      </x:c>
      <x:c r="K177" s="30" t="str">
        <x:f>IF(ISNUMBER(J177),E177-J177,"n.d.")</x:f>
        <x:v>n.d.</x:v>
      </x:c>
      <x:c r="L177" s="37" t="str">
        <x:f>IF(OR(D177&lt;0,E177&lt;0),"Position négative","OK")</x:f>
        <x:v>OK</x:v>
      </x:c>
      <x:c r="M177" s="37" t="str">
        <x:f>IF(COUNTIFS('Marché'!$B$7:$B$106,"FR0000121972_2026-10-07")&lt;&gt;1,"Clé cours absente/dupliquée",IF(H177&lt;&gt;1,"Cours absent ou dupliqué",IF(NOT(ISNUMBER(F177)),"Cours invalide",IF(F177&lt;=0,"Cours invalide",IF(G177&lt;&gt;B177,"Cours périmé","OK")))))</x:f>
        <x:v>Clé cours absente/dupliquée</x:v>
      </x:c>
      <x:c r="N177" s="30" t="n">
        <x:f>COUNTIFS('Dépositaire'!$O$7:$O$106,B177,'Dépositaire'!$P$7:$P$106,C177)</x:f>
        <x:v>0</x:v>
      </x:c>
      <x:c r="O177" s="30"/>
      <x:c r="P177" s="30"/>
      <x:c r="Q177" s="30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36" t="n">
        <x:v>46302</x:v>
      </x:c>
      <x:c r="C178" s="30" t="str">
        <x:v>FR0000120644</x:v>
      </x:c>
      <x:c r="D178" s="30" t="n">
        <x:f>SUMIFS($M$7:$M$76,$G$7:$G$76,C178,$D$7:$D$76,"&lt;="&amp;B178)</x:f>
        <x:v>1775</x:v>
      </x:c>
      <x:c r="E178" s="30" t="n">
        <x:f>SUMIFS($M$7:$M$76,$G$7:$G$76,C178,$D$7:$D$76,"&lt;="&amp;B178,$F$7:$F$76,"&gt;0",$F$7:$F$76,"&lt;="&amp;B178)</x:f>
        <x:v>1775</x:v>
      </x:c>
      <x:c r="F178" s="32" t="str">
        <x:f>IF(H178&lt;&gt;1,"n.d.",IF(COUNTIFS('Anomalies'!$C$19:$C$23,"FR0000120644_2026-10-07",'Anomalies'!$D$19:$D$23,"CoursEUR",'Anomalies'!$F$19:$F$23,"OUI")=1,SUMIFS('Anomalies'!$E$19:$E$23,'Anomalies'!$C$19:$C$23,"FR0000120644_2026-10-07",'Anomalies'!$D$19:$D$23,"CoursEUR",'Anomalies'!$F$19:$F$23,"OUI"),SUMIFS('Marché'!$E$7:$E$106,'Marché'!$C$7:$C$106,B178,'Marché'!$D$7:$D$106,C178)))</x:f>
        <x:v>n.d.</x:v>
      </x:c>
      <x:c r="G178" s="36" t="str">
        <x:f>IF(H178&lt;&gt;1,"",IF(COUNTIFS('Anomalies'!$C$19:$C$23,"FR0000120644_2026-10-07",'Anomalies'!$D$19:$D$23,"CoursEUR",'Anomalies'!$F$19:$F$23,"OUI")=1,B178,SUMIFS('Marché'!$F$7:$F$106,'Marché'!$C$7:$C$106,B178,'Marché'!$D$7:$D$106,C178)))</x:f>
      </x:c>
      <x:c r="H178" s="30" t="n">
        <x:f>COUNTIFS('Marché'!$C$7:$C$106,B178,'Marché'!$D$7:$D$106,C178)</x:f>
        <x:v>0</x:v>
      </x:c>
      <x:c r="I178" s="32" t="str">
        <x:f>IF(M178="OK",D178*F178,"n.d.")</x:f>
        <x:v>n.d.</x:v>
      </x:c>
      <x:c r="J178" s="30" t="str">
        <x:f>IF(N178=1,SUMIFS('Dépositaire'!$Q$7:$Q$106,'Dépositaire'!$O$7:$O$106,B178,'Dépositaire'!$P$7:$P$106,C178),"n.d.")</x:f>
        <x:v>n.d.</x:v>
      </x:c>
      <x:c r="K178" s="30" t="str">
        <x:f>IF(ISNUMBER(J178),E178-J178,"n.d.")</x:f>
        <x:v>n.d.</x:v>
      </x:c>
      <x:c r="L178" s="37" t="str">
        <x:f>IF(OR(D178&lt;0,E178&lt;0),"Position négative","OK")</x:f>
        <x:v>OK</x:v>
      </x:c>
      <x:c r="M178" s="37" t="str">
        <x:f>IF(COUNTIFS('Marché'!$B$7:$B$106,"FR0000120644_2026-10-07")&lt;&gt;1,"Clé cours absente/dupliquée",IF(H178&lt;&gt;1,"Cours absent ou dupliqué",IF(NOT(ISNUMBER(F178)),"Cours invalide",IF(F178&lt;=0,"Cours invalide",IF(G178&lt;&gt;B178,"Cours périmé","OK")))))</x:f>
        <x:v>Clé cours absente/dupliquée</x:v>
      </x:c>
      <x:c r="N178" s="30" t="n">
        <x:f>COUNTIFS('Dépositaire'!$O$7:$O$106,B178,'Dépositaire'!$P$7:$P$106,C178)</x:f>
        <x:v>0</x:v>
      </x:c>
      <x:c r="O178" s="30"/>
      <x:c r="P178" s="30"/>
      <x:c r="Q178" s="30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36" t="n">
        <x:v>46302</x:v>
      </x:c>
      <x:c r="C179" s="30" t="str">
        <x:v>FR0000125486</x:v>
      </x:c>
      <x:c r="D179" s="30" t="n">
        <x:f>SUMIFS($M$7:$M$76,$G$7:$G$76,C179,$D$7:$D$76,"&lt;="&amp;B179)</x:f>
        <x:v>930</x:v>
      </x:c>
      <x:c r="E179" s="30" t="n">
        <x:f>SUMIFS($M$7:$M$76,$G$7:$G$76,C179,$D$7:$D$76,"&lt;="&amp;B179,$F$7:$F$76,"&gt;0",$F$7:$F$76,"&lt;="&amp;B179)</x:f>
        <x:v>930</x:v>
      </x:c>
      <x:c r="F179" s="32" t="str">
        <x:f>IF(H179&lt;&gt;1,"n.d.",IF(COUNTIFS('Anomalies'!$C$19:$C$23,"FR0000125486_2026-10-07",'Anomalies'!$D$19:$D$23,"CoursEUR",'Anomalies'!$F$19:$F$23,"OUI")=1,SUMIFS('Anomalies'!$E$19:$E$23,'Anomalies'!$C$19:$C$23,"FR0000125486_2026-10-07",'Anomalies'!$D$19:$D$23,"CoursEUR",'Anomalies'!$F$19:$F$23,"OUI"),SUMIFS('Marché'!$E$7:$E$106,'Marché'!$C$7:$C$106,B179,'Marché'!$D$7:$D$106,C179)))</x:f>
        <x:v>n.d.</x:v>
      </x:c>
      <x:c r="G179" s="36" t="str">
        <x:f>IF(H179&lt;&gt;1,"",IF(COUNTIFS('Anomalies'!$C$19:$C$23,"FR0000125486_2026-10-07",'Anomalies'!$D$19:$D$23,"CoursEUR",'Anomalies'!$F$19:$F$23,"OUI")=1,B179,SUMIFS('Marché'!$F$7:$F$106,'Marché'!$C$7:$C$106,B179,'Marché'!$D$7:$D$106,C179)))</x:f>
      </x:c>
      <x:c r="H179" s="30" t="n">
        <x:f>COUNTIFS('Marché'!$C$7:$C$106,B179,'Marché'!$D$7:$D$106,C179)</x:f>
        <x:v>0</x:v>
      </x:c>
      <x:c r="I179" s="32" t="str">
        <x:f>IF(M179="OK",D179*F179,"n.d.")</x:f>
        <x:v>n.d.</x:v>
      </x:c>
      <x:c r="J179" s="30" t="str">
        <x:f>IF(N179=1,SUMIFS('Dépositaire'!$Q$7:$Q$106,'Dépositaire'!$O$7:$O$106,B179,'Dépositaire'!$P$7:$P$106,C179),"n.d.")</x:f>
        <x:v>n.d.</x:v>
      </x:c>
      <x:c r="K179" s="30" t="str">
        <x:f>IF(ISNUMBER(J179),E179-J179,"n.d.")</x:f>
        <x:v>n.d.</x:v>
      </x:c>
      <x:c r="L179" s="37" t="str">
        <x:f>IF(OR(D179&lt;0,E179&lt;0),"Position négative","OK")</x:f>
        <x:v>OK</x:v>
      </x:c>
      <x:c r="M179" s="37" t="str">
        <x:f>IF(COUNTIFS('Marché'!$B$7:$B$106,"FR0000125486_2026-10-07")&lt;&gt;1,"Clé cours absente/dupliquée",IF(H179&lt;&gt;1,"Cours absent ou dupliqué",IF(NOT(ISNUMBER(F179)),"Cours invalide",IF(F179&lt;=0,"Cours invalide",IF(G179&lt;&gt;B179,"Cours périmé","OK")))))</x:f>
        <x:v>Clé cours absente/dupliquée</x:v>
      </x:c>
      <x:c r="N179" s="30" t="n">
        <x:f>COUNTIFS('Dépositaire'!$O$7:$O$106,B179,'Dépositaire'!$P$7:$P$106,C179)</x:f>
        <x:v>0</x:v>
      </x:c>
      <x:c r="O179" s="30"/>
      <x:c r="P179" s="30"/>
      <x:c r="Q179" s="30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36" t="n">
        <x:v>46302</x:v>
      </x:c>
      <x:c r="C180" s="30" t="str">
        <x:v>FR0000120321</x:v>
      </x:c>
      <x:c r="D180" s="30" t="n">
        <x:f>SUMIFS($M$7:$M$76,$G$7:$G$76,C180,$D$7:$D$76,"&lt;="&amp;B180)</x:f>
        <x:v>275</x:v>
      </x:c>
      <x:c r="E180" s="30" t="n">
        <x:f>SUMIFS($M$7:$M$76,$G$7:$G$76,C180,$D$7:$D$76,"&lt;="&amp;B180,$F$7:$F$76,"&gt;0",$F$7:$F$76,"&lt;="&amp;B180)</x:f>
        <x:v>275</x:v>
      </x:c>
      <x:c r="F180" s="32" t="str">
        <x:f>IF(H180&lt;&gt;1,"n.d.",IF(COUNTIFS('Anomalies'!$C$19:$C$23,"FR0000120321_2026-10-07",'Anomalies'!$D$19:$D$23,"CoursEUR",'Anomalies'!$F$19:$F$23,"OUI")=1,SUMIFS('Anomalies'!$E$19:$E$23,'Anomalies'!$C$19:$C$23,"FR0000120321_2026-10-07",'Anomalies'!$D$19:$D$23,"CoursEUR",'Anomalies'!$F$19:$F$23,"OUI"),SUMIFS('Marché'!$E$7:$E$106,'Marché'!$C$7:$C$106,B180,'Marché'!$D$7:$D$106,C180)))</x:f>
        <x:v>n.d.</x:v>
      </x:c>
      <x:c r="G180" s="36" t="str">
        <x:f>IF(H180&lt;&gt;1,"",IF(COUNTIFS('Anomalies'!$C$19:$C$23,"FR0000120321_2026-10-07",'Anomalies'!$D$19:$D$23,"CoursEUR",'Anomalies'!$F$19:$F$23,"OUI")=1,B180,SUMIFS('Marché'!$F$7:$F$106,'Marché'!$C$7:$C$106,B180,'Marché'!$D$7:$D$106,C180)))</x:f>
      </x:c>
      <x:c r="H180" s="30" t="n">
        <x:f>COUNTIFS('Marché'!$C$7:$C$106,B180,'Marché'!$D$7:$D$106,C180)</x:f>
        <x:v>0</x:v>
      </x:c>
      <x:c r="I180" s="32" t="str">
        <x:f>IF(M180="OK",D180*F180,"n.d.")</x:f>
        <x:v>n.d.</x:v>
      </x:c>
      <x:c r="J180" s="30" t="str">
        <x:f>IF(N180=1,SUMIFS('Dépositaire'!$Q$7:$Q$106,'Dépositaire'!$O$7:$O$106,B180,'Dépositaire'!$P$7:$P$106,C180),"n.d.")</x:f>
        <x:v>n.d.</x:v>
      </x:c>
      <x:c r="K180" s="30" t="str">
        <x:f>IF(ISNUMBER(J180),E180-J180,"n.d.")</x:f>
        <x:v>n.d.</x:v>
      </x:c>
      <x:c r="L180" s="37" t="str">
        <x:f>IF(OR(D180&lt;0,E180&lt;0),"Position négative","OK")</x:f>
        <x:v>OK</x:v>
      </x:c>
      <x:c r="M180" s="37" t="str">
        <x:f>IF(COUNTIFS('Marché'!$B$7:$B$106,"FR0000120321_2026-10-07")&lt;&gt;1,"Clé cours absente/dupliquée",IF(H180&lt;&gt;1,"Cours absent ou dupliqué",IF(NOT(ISNUMBER(F180)),"Cours invalide",IF(F180&lt;=0,"Cours invalide",IF(G180&lt;&gt;B180,"Cours périmé","OK")))))</x:f>
        <x:v>Clé cours absente/dupliquée</x:v>
      </x:c>
      <x:c r="N180" s="30" t="n">
        <x:f>COUNTIFS('Dépositaire'!$O$7:$O$106,B180,'Dépositaire'!$P$7:$P$106,C180)</x:f>
        <x:v>0</x:v>
      </x:c>
      <x:c r="O180" s="30"/>
      <x:c r="P180" s="30"/>
      <x:c r="Q180" s="30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36" t="n">
        <x:v>46303</x:v>
      </x:c>
      <x:c r="C181" s="30" t="str">
        <x:v>FR0000120073</x:v>
      </x:c>
      <x:c r="D181" s="30" t="n">
        <x:f>SUMIFS($M$7:$M$76,$G$7:$G$76,C181,$D$7:$D$76,"&lt;="&amp;B181)</x:f>
        <x:v>720</x:v>
      </x:c>
      <x:c r="E181" s="30" t="n">
        <x:f>SUMIFS($M$7:$M$76,$G$7:$G$76,C181,$D$7:$D$76,"&lt;="&amp;B181,$F$7:$F$76,"&gt;0",$F$7:$F$76,"&lt;="&amp;B181)</x:f>
        <x:v>720</x:v>
      </x:c>
      <x:c r="F181" s="32" t="str">
        <x:f>IF(H181&lt;&gt;1,"n.d.",IF(COUNTIFS('Anomalies'!$C$19:$C$23,"FR0000120073_2026-10-08",'Anomalies'!$D$19:$D$23,"CoursEUR",'Anomalies'!$F$19:$F$23,"OUI")=1,SUMIFS('Anomalies'!$E$19:$E$23,'Anomalies'!$C$19:$C$23,"FR0000120073_2026-10-08",'Anomalies'!$D$19:$D$23,"CoursEUR",'Anomalies'!$F$19:$F$23,"OUI"),SUMIFS('Marché'!$E$7:$E$106,'Marché'!$C$7:$C$106,B181,'Marché'!$D$7:$D$106,C181)))</x:f>
        <x:v>n.d.</x:v>
      </x:c>
      <x:c r="G181" s="36" t="str">
        <x:f>IF(H181&lt;&gt;1,"",IF(COUNTIFS('Anomalies'!$C$19:$C$23,"FR0000120073_2026-10-08",'Anomalies'!$D$19:$D$23,"CoursEUR",'Anomalies'!$F$19:$F$23,"OUI")=1,B181,SUMIFS('Marché'!$F$7:$F$106,'Marché'!$C$7:$C$106,B181,'Marché'!$D$7:$D$106,C181)))</x:f>
      </x:c>
      <x:c r="H181" s="30" t="n">
        <x:f>COUNTIFS('Marché'!$C$7:$C$106,B181,'Marché'!$D$7:$D$106,C181)</x:f>
        <x:v>0</x:v>
      </x:c>
      <x:c r="I181" s="32" t="str">
        <x:f>IF(M181="OK",D181*F181,"n.d.")</x:f>
        <x:v>n.d.</x:v>
      </x:c>
      <x:c r="J181" s="30" t="str">
        <x:f>IF(N181=1,SUMIFS('Dépositaire'!$Q$7:$Q$106,'Dépositaire'!$O$7:$O$106,B181,'Dépositaire'!$P$7:$P$106,C181),"n.d.")</x:f>
        <x:v>n.d.</x:v>
      </x:c>
      <x:c r="K181" s="30" t="str">
        <x:f>IF(ISNUMBER(J181),E181-J181,"n.d.")</x:f>
        <x:v>n.d.</x:v>
      </x:c>
      <x:c r="L181" s="37" t="str">
        <x:f>IF(OR(D181&lt;0,E181&lt;0),"Position négative","OK")</x:f>
        <x:v>OK</x:v>
      </x:c>
      <x:c r="M181" s="37" t="str">
        <x:f>IF(COUNTIFS('Marché'!$B$7:$B$106,"FR0000120073_2026-10-08")&lt;&gt;1,"Clé cours absente/dupliquée",IF(H181&lt;&gt;1,"Cours absent ou dupliqué",IF(NOT(ISNUMBER(F181)),"Cours invalide",IF(F181&lt;=0,"Cours invalide",IF(G181&lt;&gt;B181,"Cours périmé","OK")))))</x:f>
        <x:v>Clé cours absente/dupliquée</x:v>
      </x:c>
      <x:c r="N181" s="30" t="n">
        <x:f>COUNTIFS('Dépositaire'!$O$7:$O$106,B181,'Dépositaire'!$P$7:$P$106,C181)</x:f>
        <x:v>0</x:v>
      </x:c>
      <x:c r="O181" s="30"/>
      <x:c r="P181" s="30"/>
      <x:c r="Q181" s="30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36" t="n">
        <x:v>46303</x:v>
      </x:c>
      <x:c r="C182" s="30" t="str">
        <x:v>FR0000121972</x:v>
      </x:c>
      <x:c r="D182" s="30" t="n">
        <x:f>SUMIFS($M$7:$M$76,$G$7:$G$76,C182,$D$7:$D$76,"&lt;="&amp;B182)</x:f>
        <x:v>425</x:v>
      </x:c>
      <x:c r="E182" s="30" t="n">
        <x:f>SUMIFS($M$7:$M$76,$G$7:$G$76,C182,$D$7:$D$76,"&lt;="&amp;B182,$F$7:$F$76,"&gt;0",$F$7:$F$76,"&lt;="&amp;B182)</x:f>
        <x:v>425</x:v>
      </x:c>
      <x:c r="F182" s="32" t="str">
        <x:f>IF(H182&lt;&gt;1,"n.d.",IF(COUNTIFS('Anomalies'!$C$19:$C$23,"FR0000121972_2026-10-08",'Anomalies'!$D$19:$D$23,"CoursEUR",'Anomalies'!$F$19:$F$23,"OUI")=1,SUMIFS('Anomalies'!$E$19:$E$23,'Anomalies'!$C$19:$C$23,"FR0000121972_2026-10-08",'Anomalies'!$D$19:$D$23,"CoursEUR",'Anomalies'!$F$19:$F$23,"OUI"),SUMIFS('Marché'!$E$7:$E$106,'Marché'!$C$7:$C$106,B182,'Marché'!$D$7:$D$106,C182)))</x:f>
        <x:v>n.d.</x:v>
      </x:c>
      <x:c r="G182" s="36" t="str">
        <x:f>IF(H182&lt;&gt;1,"",IF(COUNTIFS('Anomalies'!$C$19:$C$23,"FR0000121972_2026-10-08",'Anomalies'!$D$19:$D$23,"CoursEUR",'Anomalies'!$F$19:$F$23,"OUI")=1,B182,SUMIFS('Marché'!$F$7:$F$106,'Marché'!$C$7:$C$106,B182,'Marché'!$D$7:$D$106,C182)))</x:f>
      </x:c>
      <x:c r="H182" s="30" t="n">
        <x:f>COUNTIFS('Marché'!$C$7:$C$106,B182,'Marché'!$D$7:$D$106,C182)</x:f>
        <x:v>0</x:v>
      </x:c>
      <x:c r="I182" s="32" t="str">
        <x:f>IF(M182="OK",D182*F182,"n.d.")</x:f>
        <x:v>n.d.</x:v>
      </x:c>
      <x:c r="J182" s="30" t="str">
        <x:f>IF(N182=1,SUMIFS('Dépositaire'!$Q$7:$Q$106,'Dépositaire'!$O$7:$O$106,B182,'Dépositaire'!$P$7:$P$106,C182),"n.d.")</x:f>
        <x:v>n.d.</x:v>
      </x:c>
      <x:c r="K182" s="30" t="str">
        <x:f>IF(ISNUMBER(J182),E182-J182,"n.d.")</x:f>
        <x:v>n.d.</x:v>
      </x:c>
      <x:c r="L182" s="37" t="str">
        <x:f>IF(OR(D182&lt;0,E182&lt;0),"Position négative","OK")</x:f>
        <x:v>OK</x:v>
      </x:c>
      <x:c r="M182" s="37" t="str">
        <x:f>IF(COUNTIFS('Marché'!$B$7:$B$106,"FR0000121972_2026-10-08")&lt;&gt;1,"Clé cours absente/dupliquée",IF(H182&lt;&gt;1,"Cours absent ou dupliqué",IF(NOT(ISNUMBER(F182)),"Cours invalide",IF(F182&lt;=0,"Cours invalide",IF(G182&lt;&gt;B182,"Cours périmé","OK")))))</x:f>
        <x:v>Clé cours absente/dupliquée</x:v>
      </x:c>
      <x:c r="N182" s="30" t="n">
        <x:f>COUNTIFS('Dépositaire'!$O$7:$O$106,B182,'Dépositaire'!$P$7:$P$106,C182)</x:f>
        <x:v>0</x:v>
      </x:c>
      <x:c r="O182" s="30"/>
      <x:c r="P182" s="30"/>
      <x:c r="Q182" s="30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36" t="n">
        <x:v>46303</x:v>
      </x:c>
      <x:c r="C183" s="30" t="str">
        <x:v>FR0000120644</x:v>
      </x:c>
      <x:c r="D183" s="30" t="n">
        <x:f>SUMIFS($M$7:$M$76,$G$7:$G$76,C183,$D$7:$D$76,"&lt;="&amp;B183)</x:f>
        <x:v>1775</x:v>
      </x:c>
      <x:c r="E183" s="30" t="n">
        <x:f>SUMIFS($M$7:$M$76,$G$7:$G$76,C183,$D$7:$D$76,"&lt;="&amp;B183,$F$7:$F$76,"&gt;0",$F$7:$F$76,"&lt;="&amp;B183)</x:f>
        <x:v>1775</x:v>
      </x:c>
      <x:c r="F183" s="32" t="str">
        <x:f>IF(H183&lt;&gt;1,"n.d.",IF(COUNTIFS('Anomalies'!$C$19:$C$23,"FR0000120644_2026-10-08",'Anomalies'!$D$19:$D$23,"CoursEUR",'Anomalies'!$F$19:$F$23,"OUI")=1,SUMIFS('Anomalies'!$E$19:$E$23,'Anomalies'!$C$19:$C$23,"FR0000120644_2026-10-08",'Anomalies'!$D$19:$D$23,"CoursEUR",'Anomalies'!$F$19:$F$23,"OUI"),SUMIFS('Marché'!$E$7:$E$106,'Marché'!$C$7:$C$106,B183,'Marché'!$D$7:$D$106,C183)))</x:f>
        <x:v>n.d.</x:v>
      </x:c>
      <x:c r="G183" s="36" t="str">
        <x:f>IF(H183&lt;&gt;1,"",IF(COUNTIFS('Anomalies'!$C$19:$C$23,"FR0000120644_2026-10-08",'Anomalies'!$D$19:$D$23,"CoursEUR",'Anomalies'!$F$19:$F$23,"OUI")=1,B183,SUMIFS('Marché'!$F$7:$F$106,'Marché'!$C$7:$C$106,B183,'Marché'!$D$7:$D$106,C183)))</x:f>
      </x:c>
      <x:c r="H183" s="30" t="n">
        <x:f>COUNTIFS('Marché'!$C$7:$C$106,B183,'Marché'!$D$7:$D$106,C183)</x:f>
        <x:v>0</x:v>
      </x:c>
      <x:c r="I183" s="32" t="str">
        <x:f>IF(M183="OK",D183*F183,"n.d.")</x:f>
        <x:v>n.d.</x:v>
      </x:c>
      <x:c r="J183" s="30" t="str">
        <x:f>IF(N183=1,SUMIFS('Dépositaire'!$Q$7:$Q$106,'Dépositaire'!$O$7:$O$106,B183,'Dépositaire'!$P$7:$P$106,C183),"n.d.")</x:f>
        <x:v>n.d.</x:v>
      </x:c>
      <x:c r="K183" s="30" t="str">
        <x:f>IF(ISNUMBER(J183),E183-J183,"n.d.")</x:f>
        <x:v>n.d.</x:v>
      </x:c>
      <x:c r="L183" s="37" t="str">
        <x:f>IF(OR(D183&lt;0,E183&lt;0),"Position négative","OK")</x:f>
        <x:v>OK</x:v>
      </x:c>
      <x:c r="M183" s="37" t="str">
        <x:f>IF(COUNTIFS('Marché'!$B$7:$B$106,"FR0000120644_2026-10-08")&lt;&gt;1,"Clé cours absente/dupliquée",IF(H183&lt;&gt;1,"Cours absent ou dupliqué",IF(NOT(ISNUMBER(F183)),"Cours invalide",IF(F183&lt;=0,"Cours invalide",IF(G183&lt;&gt;B183,"Cours périmé","OK")))))</x:f>
        <x:v>Clé cours absente/dupliquée</x:v>
      </x:c>
      <x:c r="N183" s="30" t="n">
        <x:f>COUNTIFS('Dépositaire'!$O$7:$O$106,B183,'Dépositaire'!$P$7:$P$106,C183)</x:f>
        <x:v>0</x:v>
      </x:c>
      <x:c r="O183" s="30"/>
      <x:c r="P183" s="30"/>
      <x:c r="Q183" s="30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36" t="n">
        <x:v>46303</x:v>
      </x:c>
      <x:c r="C184" s="30" t="str">
        <x:v>FR0000125486</x:v>
      </x:c>
      <x:c r="D184" s="30" t="n">
        <x:f>SUMIFS($M$7:$M$76,$G$7:$G$76,C184,$D$7:$D$76,"&lt;="&amp;B184)</x:f>
        <x:v>930</x:v>
      </x:c>
      <x:c r="E184" s="30" t="n">
        <x:f>SUMIFS($M$7:$M$76,$G$7:$G$76,C184,$D$7:$D$76,"&lt;="&amp;B184,$F$7:$F$76,"&gt;0",$F$7:$F$76,"&lt;="&amp;B184)</x:f>
        <x:v>930</x:v>
      </x:c>
      <x:c r="F184" s="32" t="str">
        <x:f>IF(H184&lt;&gt;1,"n.d.",IF(COUNTIFS('Anomalies'!$C$19:$C$23,"FR0000125486_2026-10-08",'Anomalies'!$D$19:$D$23,"CoursEUR",'Anomalies'!$F$19:$F$23,"OUI")=1,SUMIFS('Anomalies'!$E$19:$E$23,'Anomalies'!$C$19:$C$23,"FR0000125486_2026-10-08",'Anomalies'!$D$19:$D$23,"CoursEUR",'Anomalies'!$F$19:$F$23,"OUI"),SUMIFS('Marché'!$E$7:$E$106,'Marché'!$C$7:$C$106,B184,'Marché'!$D$7:$D$106,C184)))</x:f>
        <x:v>n.d.</x:v>
      </x:c>
      <x:c r="G184" s="36" t="str">
        <x:f>IF(H184&lt;&gt;1,"",IF(COUNTIFS('Anomalies'!$C$19:$C$23,"FR0000125486_2026-10-08",'Anomalies'!$D$19:$D$23,"CoursEUR",'Anomalies'!$F$19:$F$23,"OUI")=1,B184,SUMIFS('Marché'!$F$7:$F$106,'Marché'!$C$7:$C$106,B184,'Marché'!$D$7:$D$106,C184)))</x:f>
      </x:c>
      <x:c r="H184" s="30" t="n">
        <x:f>COUNTIFS('Marché'!$C$7:$C$106,B184,'Marché'!$D$7:$D$106,C184)</x:f>
        <x:v>0</x:v>
      </x:c>
      <x:c r="I184" s="32" t="str">
        <x:f>IF(M184="OK",D184*F184,"n.d.")</x:f>
        <x:v>n.d.</x:v>
      </x:c>
      <x:c r="J184" s="30" t="str">
        <x:f>IF(N184=1,SUMIFS('Dépositaire'!$Q$7:$Q$106,'Dépositaire'!$O$7:$O$106,B184,'Dépositaire'!$P$7:$P$106,C184),"n.d.")</x:f>
        <x:v>n.d.</x:v>
      </x:c>
      <x:c r="K184" s="30" t="str">
        <x:f>IF(ISNUMBER(J184),E184-J184,"n.d.")</x:f>
        <x:v>n.d.</x:v>
      </x:c>
      <x:c r="L184" s="37" t="str">
        <x:f>IF(OR(D184&lt;0,E184&lt;0),"Position négative","OK")</x:f>
        <x:v>OK</x:v>
      </x:c>
      <x:c r="M184" s="37" t="str">
        <x:f>IF(COUNTIFS('Marché'!$B$7:$B$106,"FR0000125486_2026-10-08")&lt;&gt;1,"Clé cours absente/dupliquée",IF(H184&lt;&gt;1,"Cours absent ou dupliqué",IF(NOT(ISNUMBER(F184)),"Cours invalide",IF(F184&lt;=0,"Cours invalide",IF(G184&lt;&gt;B184,"Cours périmé","OK")))))</x:f>
        <x:v>Clé cours absente/dupliquée</x:v>
      </x:c>
      <x:c r="N184" s="30" t="n">
        <x:f>COUNTIFS('Dépositaire'!$O$7:$O$106,B184,'Dépositaire'!$P$7:$P$106,C184)</x:f>
        <x:v>0</x:v>
      </x:c>
      <x:c r="O184" s="30"/>
      <x:c r="P184" s="30"/>
      <x:c r="Q184" s="30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36" t="n">
        <x:v>46303</x:v>
      </x:c>
      <x:c r="C185" s="30" t="str">
        <x:v>FR0000120321</x:v>
      </x:c>
      <x:c r="D185" s="30" t="n">
        <x:f>SUMIFS($M$7:$M$76,$G$7:$G$76,C185,$D$7:$D$76,"&lt;="&amp;B185)</x:f>
        <x:v>275</x:v>
      </x:c>
      <x:c r="E185" s="30" t="n">
        <x:f>SUMIFS($M$7:$M$76,$G$7:$G$76,C185,$D$7:$D$76,"&lt;="&amp;B185,$F$7:$F$76,"&gt;0",$F$7:$F$76,"&lt;="&amp;B185)</x:f>
        <x:v>275</x:v>
      </x:c>
      <x:c r="F185" s="32" t="str">
        <x:f>IF(H185&lt;&gt;1,"n.d.",IF(COUNTIFS('Anomalies'!$C$19:$C$23,"FR0000120321_2026-10-08",'Anomalies'!$D$19:$D$23,"CoursEUR",'Anomalies'!$F$19:$F$23,"OUI")=1,SUMIFS('Anomalies'!$E$19:$E$23,'Anomalies'!$C$19:$C$23,"FR0000120321_2026-10-08",'Anomalies'!$D$19:$D$23,"CoursEUR",'Anomalies'!$F$19:$F$23,"OUI"),SUMIFS('Marché'!$E$7:$E$106,'Marché'!$C$7:$C$106,B185,'Marché'!$D$7:$D$106,C185)))</x:f>
        <x:v>n.d.</x:v>
      </x:c>
      <x:c r="G185" s="36" t="str">
        <x:f>IF(H185&lt;&gt;1,"",IF(COUNTIFS('Anomalies'!$C$19:$C$23,"FR0000120321_2026-10-08",'Anomalies'!$D$19:$D$23,"CoursEUR",'Anomalies'!$F$19:$F$23,"OUI")=1,B185,SUMIFS('Marché'!$F$7:$F$106,'Marché'!$C$7:$C$106,B185,'Marché'!$D$7:$D$106,C185)))</x:f>
      </x:c>
      <x:c r="H185" s="30" t="n">
        <x:f>COUNTIFS('Marché'!$C$7:$C$106,B185,'Marché'!$D$7:$D$106,C185)</x:f>
        <x:v>0</x:v>
      </x:c>
      <x:c r="I185" s="32" t="str">
        <x:f>IF(M185="OK",D185*F185,"n.d.")</x:f>
        <x:v>n.d.</x:v>
      </x:c>
      <x:c r="J185" s="30" t="str">
        <x:f>IF(N185=1,SUMIFS('Dépositaire'!$Q$7:$Q$106,'Dépositaire'!$O$7:$O$106,B185,'Dépositaire'!$P$7:$P$106,C185),"n.d.")</x:f>
        <x:v>n.d.</x:v>
      </x:c>
      <x:c r="K185" s="30" t="str">
        <x:f>IF(ISNUMBER(J185),E185-J185,"n.d.")</x:f>
        <x:v>n.d.</x:v>
      </x:c>
      <x:c r="L185" s="37" t="str">
        <x:f>IF(OR(D185&lt;0,E185&lt;0),"Position négative","OK")</x:f>
        <x:v>OK</x:v>
      </x:c>
      <x:c r="M185" s="37" t="str">
        <x:f>IF(COUNTIFS('Marché'!$B$7:$B$106,"FR0000120321_2026-10-08")&lt;&gt;1,"Clé cours absente/dupliquée",IF(H185&lt;&gt;1,"Cours absent ou dupliqué",IF(NOT(ISNUMBER(F185)),"Cours invalide",IF(F185&lt;=0,"Cours invalide",IF(G185&lt;&gt;B185,"Cours périmé","OK")))))</x:f>
        <x:v>Clé cours absente/dupliquée</x:v>
      </x:c>
      <x:c r="N185" s="30" t="n">
        <x:f>COUNTIFS('Dépositaire'!$O$7:$O$106,B185,'Dépositaire'!$P$7:$P$106,C185)</x:f>
        <x:v>0</x:v>
      </x:c>
      <x:c r="O185" s="30"/>
      <x:c r="P185" s="30"/>
      <x:c r="Q185" s="30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36" t="n">
        <x:v>46304</x:v>
      </x:c>
      <x:c r="C186" s="30" t="str">
        <x:v>FR0000120073</x:v>
      </x:c>
      <x:c r="D186" s="30" t="n">
        <x:f>SUMIFS($M$7:$M$76,$G$7:$G$76,C186,$D$7:$D$76,"&lt;="&amp;B186)</x:f>
        <x:v>720</x:v>
      </x:c>
      <x:c r="E186" s="30" t="n">
        <x:f>SUMIFS($M$7:$M$76,$G$7:$G$76,C186,$D$7:$D$76,"&lt;="&amp;B186,$F$7:$F$76,"&gt;0",$F$7:$F$76,"&lt;="&amp;B186)</x:f>
        <x:v>720</x:v>
      </x:c>
      <x:c r="F186" s="32" t="str">
        <x:f>IF(H186&lt;&gt;1,"n.d.",IF(COUNTIFS('Anomalies'!$C$19:$C$23,"FR0000120073_2026-10-09",'Anomalies'!$D$19:$D$23,"CoursEUR",'Anomalies'!$F$19:$F$23,"OUI")=1,SUMIFS('Anomalies'!$E$19:$E$23,'Anomalies'!$C$19:$C$23,"FR0000120073_2026-10-09",'Anomalies'!$D$19:$D$23,"CoursEUR",'Anomalies'!$F$19:$F$23,"OUI"),SUMIFS('Marché'!$E$7:$E$106,'Marché'!$C$7:$C$106,B186,'Marché'!$D$7:$D$106,C186)))</x:f>
        <x:v>n.d.</x:v>
      </x:c>
      <x:c r="G186" s="36" t="str">
        <x:f>IF(H186&lt;&gt;1,"",IF(COUNTIFS('Anomalies'!$C$19:$C$23,"FR0000120073_2026-10-09",'Anomalies'!$D$19:$D$23,"CoursEUR",'Anomalies'!$F$19:$F$23,"OUI")=1,B186,SUMIFS('Marché'!$F$7:$F$106,'Marché'!$C$7:$C$106,B186,'Marché'!$D$7:$D$106,C186)))</x:f>
      </x:c>
      <x:c r="H186" s="30" t="n">
        <x:f>COUNTIFS('Marché'!$C$7:$C$106,B186,'Marché'!$D$7:$D$106,C186)</x:f>
        <x:v>0</x:v>
      </x:c>
      <x:c r="I186" s="32" t="str">
        <x:f>IF(M186="OK",D186*F186,"n.d.")</x:f>
        <x:v>n.d.</x:v>
      </x:c>
      <x:c r="J186" s="30" t="str">
        <x:f>IF(N186=1,SUMIFS('Dépositaire'!$Q$7:$Q$106,'Dépositaire'!$O$7:$O$106,B186,'Dépositaire'!$P$7:$P$106,C186),"n.d.")</x:f>
        <x:v>n.d.</x:v>
      </x:c>
      <x:c r="K186" s="30" t="str">
        <x:f>IF(ISNUMBER(J186),E186-J186,"n.d.")</x:f>
        <x:v>n.d.</x:v>
      </x:c>
      <x:c r="L186" s="37" t="str">
        <x:f>IF(OR(D186&lt;0,E186&lt;0),"Position négative","OK")</x:f>
        <x:v>OK</x:v>
      </x:c>
      <x:c r="M186" s="37" t="str">
        <x:f>IF(COUNTIFS('Marché'!$B$7:$B$106,"FR0000120073_2026-10-09")&lt;&gt;1,"Clé cours absente/dupliquée",IF(H186&lt;&gt;1,"Cours absent ou dupliqué",IF(NOT(ISNUMBER(F186)),"Cours invalide",IF(F186&lt;=0,"Cours invalide",IF(G186&lt;&gt;B186,"Cours périmé","OK")))))</x:f>
        <x:v>Clé cours absente/dupliquée</x:v>
      </x:c>
      <x:c r="N186" s="30" t="n">
        <x:f>COUNTIFS('Dépositaire'!$O$7:$O$106,B186,'Dépositaire'!$P$7:$P$106,C186)</x:f>
        <x:v>0</x:v>
      </x:c>
      <x:c r="O186" s="30"/>
      <x:c r="P186" s="30"/>
      <x:c r="Q186" s="30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36" t="n">
        <x:v>46304</x:v>
      </x:c>
      <x:c r="C187" s="30" t="str">
        <x:v>FR0000121972</x:v>
      </x:c>
      <x:c r="D187" s="30" t="n">
        <x:f>SUMIFS($M$7:$M$76,$G$7:$G$76,C187,$D$7:$D$76,"&lt;="&amp;B187)</x:f>
        <x:v>425</x:v>
      </x:c>
      <x:c r="E187" s="30" t="n">
        <x:f>SUMIFS($M$7:$M$76,$G$7:$G$76,C187,$D$7:$D$76,"&lt;="&amp;B187,$F$7:$F$76,"&gt;0",$F$7:$F$76,"&lt;="&amp;B187)</x:f>
        <x:v>425</x:v>
      </x:c>
      <x:c r="F187" s="32" t="str">
        <x:f>IF(H187&lt;&gt;1,"n.d.",IF(COUNTIFS('Anomalies'!$C$19:$C$23,"FR0000121972_2026-10-09",'Anomalies'!$D$19:$D$23,"CoursEUR",'Anomalies'!$F$19:$F$23,"OUI")=1,SUMIFS('Anomalies'!$E$19:$E$23,'Anomalies'!$C$19:$C$23,"FR0000121972_2026-10-09",'Anomalies'!$D$19:$D$23,"CoursEUR",'Anomalies'!$F$19:$F$23,"OUI"),SUMIFS('Marché'!$E$7:$E$106,'Marché'!$C$7:$C$106,B187,'Marché'!$D$7:$D$106,C187)))</x:f>
        <x:v>n.d.</x:v>
      </x:c>
      <x:c r="G187" s="36" t="str">
        <x:f>IF(H187&lt;&gt;1,"",IF(COUNTIFS('Anomalies'!$C$19:$C$23,"FR0000121972_2026-10-09",'Anomalies'!$D$19:$D$23,"CoursEUR",'Anomalies'!$F$19:$F$23,"OUI")=1,B187,SUMIFS('Marché'!$F$7:$F$106,'Marché'!$C$7:$C$106,B187,'Marché'!$D$7:$D$106,C187)))</x:f>
      </x:c>
      <x:c r="H187" s="30" t="n">
        <x:f>COUNTIFS('Marché'!$C$7:$C$106,B187,'Marché'!$D$7:$D$106,C187)</x:f>
        <x:v>0</x:v>
      </x:c>
      <x:c r="I187" s="32" t="str">
        <x:f>IF(M187="OK",D187*F187,"n.d.")</x:f>
        <x:v>n.d.</x:v>
      </x:c>
      <x:c r="J187" s="30" t="str">
        <x:f>IF(N187=1,SUMIFS('Dépositaire'!$Q$7:$Q$106,'Dépositaire'!$O$7:$O$106,B187,'Dépositaire'!$P$7:$P$106,C187),"n.d.")</x:f>
        <x:v>n.d.</x:v>
      </x:c>
      <x:c r="K187" s="30" t="str">
        <x:f>IF(ISNUMBER(J187),E187-J187,"n.d.")</x:f>
        <x:v>n.d.</x:v>
      </x:c>
      <x:c r="L187" s="37" t="str">
        <x:f>IF(OR(D187&lt;0,E187&lt;0),"Position négative","OK")</x:f>
        <x:v>OK</x:v>
      </x:c>
      <x:c r="M187" s="37" t="str">
        <x:f>IF(COUNTIFS('Marché'!$B$7:$B$106,"FR0000121972_2026-10-09")&lt;&gt;1,"Clé cours absente/dupliquée",IF(H187&lt;&gt;1,"Cours absent ou dupliqué",IF(NOT(ISNUMBER(F187)),"Cours invalide",IF(F187&lt;=0,"Cours invalide",IF(G187&lt;&gt;B187,"Cours périmé","OK")))))</x:f>
        <x:v>Clé cours absente/dupliquée</x:v>
      </x:c>
      <x:c r="N187" s="30" t="n">
        <x:f>COUNTIFS('Dépositaire'!$O$7:$O$106,B187,'Dépositaire'!$P$7:$P$106,C187)</x:f>
        <x:v>0</x:v>
      </x:c>
      <x:c r="O187" s="30"/>
      <x:c r="P187" s="30"/>
      <x:c r="Q187" s="30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36" t="n">
        <x:v>46304</x:v>
      </x:c>
      <x:c r="C188" s="30" t="str">
        <x:v>FR0000120644</x:v>
      </x:c>
      <x:c r="D188" s="30" t="n">
        <x:f>SUMIFS($M$7:$M$76,$G$7:$G$76,C188,$D$7:$D$76,"&lt;="&amp;B188)</x:f>
        <x:v>1775</x:v>
      </x:c>
      <x:c r="E188" s="30" t="n">
        <x:f>SUMIFS($M$7:$M$76,$G$7:$G$76,C188,$D$7:$D$76,"&lt;="&amp;B188,$F$7:$F$76,"&gt;0",$F$7:$F$76,"&lt;="&amp;B188)</x:f>
        <x:v>1775</x:v>
      </x:c>
      <x:c r="F188" s="32" t="str">
        <x:f>IF(H188&lt;&gt;1,"n.d.",IF(COUNTIFS('Anomalies'!$C$19:$C$23,"FR0000120644_2026-10-09",'Anomalies'!$D$19:$D$23,"CoursEUR",'Anomalies'!$F$19:$F$23,"OUI")=1,SUMIFS('Anomalies'!$E$19:$E$23,'Anomalies'!$C$19:$C$23,"FR0000120644_2026-10-09",'Anomalies'!$D$19:$D$23,"CoursEUR",'Anomalies'!$F$19:$F$23,"OUI"),SUMIFS('Marché'!$E$7:$E$106,'Marché'!$C$7:$C$106,B188,'Marché'!$D$7:$D$106,C188)))</x:f>
        <x:v>n.d.</x:v>
      </x:c>
      <x:c r="G188" s="36" t="str">
        <x:f>IF(H188&lt;&gt;1,"",IF(COUNTIFS('Anomalies'!$C$19:$C$23,"FR0000120644_2026-10-09",'Anomalies'!$D$19:$D$23,"CoursEUR",'Anomalies'!$F$19:$F$23,"OUI")=1,B188,SUMIFS('Marché'!$F$7:$F$106,'Marché'!$C$7:$C$106,B188,'Marché'!$D$7:$D$106,C188)))</x:f>
      </x:c>
      <x:c r="H188" s="30" t="n">
        <x:f>COUNTIFS('Marché'!$C$7:$C$106,B188,'Marché'!$D$7:$D$106,C188)</x:f>
        <x:v>0</x:v>
      </x:c>
      <x:c r="I188" s="32" t="str">
        <x:f>IF(M188="OK",D188*F188,"n.d.")</x:f>
        <x:v>n.d.</x:v>
      </x:c>
      <x:c r="J188" s="30" t="str">
        <x:f>IF(N188=1,SUMIFS('Dépositaire'!$Q$7:$Q$106,'Dépositaire'!$O$7:$O$106,B188,'Dépositaire'!$P$7:$P$106,C188),"n.d.")</x:f>
        <x:v>n.d.</x:v>
      </x:c>
      <x:c r="K188" s="30" t="str">
        <x:f>IF(ISNUMBER(J188),E188-J188,"n.d.")</x:f>
        <x:v>n.d.</x:v>
      </x:c>
      <x:c r="L188" s="37" t="str">
        <x:f>IF(OR(D188&lt;0,E188&lt;0),"Position négative","OK")</x:f>
        <x:v>OK</x:v>
      </x:c>
      <x:c r="M188" s="37" t="str">
        <x:f>IF(COUNTIFS('Marché'!$B$7:$B$106,"FR0000120644_2026-10-09")&lt;&gt;1,"Clé cours absente/dupliquée",IF(H188&lt;&gt;1,"Cours absent ou dupliqué",IF(NOT(ISNUMBER(F188)),"Cours invalide",IF(F188&lt;=0,"Cours invalide",IF(G188&lt;&gt;B188,"Cours périmé","OK")))))</x:f>
        <x:v>Clé cours absente/dupliquée</x:v>
      </x:c>
      <x:c r="N188" s="30" t="n">
        <x:f>COUNTIFS('Dépositaire'!$O$7:$O$106,B188,'Dépositaire'!$P$7:$P$106,C188)</x:f>
        <x:v>0</x:v>
      </x:c>
      <x:c r="O188" s="30"/>
      <x:c r="P188" s="30"/>
      <x:c r="Q188" s="30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36" t="n">
        <x:v>46304</x:v>
      </x:c>
      <x:c r="C189" s="30" t="str">
        <x:v>FR0000125486</x:v>
      </x:c>
      <x:c r="D189" s="30" t="n">
        <x:f>SUMIFS($M$7:$M$76,$G$7:$G$76,C189,$D$7:$D$76,"&lt;="&amp;B189)</x:f>
        <x:v>930</x:v>
      </x:c>
      <x:c r="E189" s="30" t="n">
        <x:f>SUMIFS($M$7:$M$76,$G$7:$G$76,C189,$D$7:$D$76,"&lt;="&amp;B189,$F$7:$F$76,"&gt;0",$F$7:$F$76,"&lt;="&amp;B189)</x:f>
        <x:v>930</x:v>
      </x:c>
      <x:c r="F189" s="32" t="str">
        <x:f>IF(H189&lt;&gt;1,"n.d.",IF(COUNTIFS('Anomalies'!$C$19:$C$23,"FR0000125486_2026-10-09",'Anomalies'!$D$19:$D$23,"CoursEUR",'Anomalies'!$F$19:$F$23,"OUI")=1,SUMIFS('Anomalies'!$E$19:$E$23,'Anomalies'!$C$19:$C$23,"FR0000125486_2026-10-09",'Anomalies'!$D$19:$D$23,"CoursEUR",'Anomalies'!$F$19:$F$23,"OUI"),SUMIFS('Marché'!$E$7:$E$106,'Marché'!$C$7:$C$106,B189,'Marché'!$D$7:$D$106,C189)))</x:f>
        <x:v>n.d.</x:v>
      </x:c>
      <x:c r="G189" s="36" t="str">
        <x:f>IF(H189&lt;&gt;1,"",IF(COUNTIFS('Anomalies'!$C$19:$C$23,"FR0000125486_2026-10-09",'Anomalies'!$D$19:$D$23,"CoursEUR",'Anomalies'!$F$19:$F$23,"OUI")=1,B189,SUMIFS('Marché'!$F$7:$F$106,'Marché'!$C$7:$C$106,B189,'Marché'!$D$7:$D$106,C189)))</x:f>
      </x:c>
      <x:c r="H189" s="30" t="n">
        <x:f>COUNTIFS('Marché'!$C$7:$C$106,B189,'Marché'!$D$7:$D$106,C189)</x:f>
        <x:v>0</x:v>
      </x:c>
      <x:c r="I189" s="32" t="str">
        <x:f>IF(M189="OK",D189*F189,"n.d.")</x:f>
        <x:v>n.d.</x:v>
      </x:c>
      <x:c r="J189" s="30" t="str">
        <x:f>IF(N189=1,SUMIFS('Dépositaire'!$Q$7:$Q$106,'Dépositaire'!$O$7:$O$106,B189,'Dépositaire'!$P$7:$P$106,C189),"n.d.")</x:f>
        <x:v>n.d.</x:v>
      </x:c>
      <x:c r="K189" s="30" t="str">
        <x:f>IF(ISNUMBER(J189),E189-J189,"n.d.")</x:f>
        <x:v>n.d.</x:v>
      </x:c>
      <x:c r="L189" s="37" t="str">
        <x:f>IF(OR(D189&lt;0,E189&lt;0),"Position négative","OK")</x:f>
        <x:v>OK</x:v>
      </x:c>
      <x:c r="M189" s="37" t="str">
        <x:f>IF(COUNTIFS('Marché'!$B$7:$B$106,"FR0000125486_2026-10-09")&lt;&gt;1,"Clé cours absente/dupliquée",IF(H189&lt;&gt;1,"Cours absent ou dupliqué",IF(NOT(ISNUMBER(F189)),"Cours invalide",IF(F189&lt;=0,"Cours invalide",IF(G189&lt;&gt;B189,"Cours périmé","OK")))))</x:f>
        <x:v>Clé cours absente/dupliquée</x:v>
      </x:c>
      <x:c r="N189" s="30" t="n">
        <x:f>COUNTIFS('Dépositaire'!$O$7:$O$106,B189,'Dépositaire'!$P$7:$P$106,C189)</x:f>
        <x:v>0</x:v>
      </x:c>
      <x:c r="O189" s="30"/>
      <x:c r="P189" s="30"/>
      <x:c r="Q189" s="30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36" t="n">
        <x:v>46304</x:v>
      </x:c>
      <x:c r="C190" s="30" t="str">
        <x:v>FR0000120321</x:v>
      </x:c>
      <x:c r="D190" s="30" t="n">
        <x:f>SUMIFS($M$7:$M$76,$G$7:$G$76,C190,$D$7:$D$76,"&lt;="&amp;B190)</x:f>
        <x:v>275</x:v>
      </x:c>
      <x:c r="E190" s="30" t="n">
        <x:f>SUMIFS($M$7:$M$76,$G$7:$G$76,C190,$D$7:$D$76,"&lt;="&amp;B190,$F$7:$F$76,"&gt;0",$F$7:$F$76,"&lt;="&amp;B190)</x:f>
        <x:v>275</x:v>
      </x:c>
      <x:c r="F190" s="32" t="str">
        <x:f>IF(H190&lt;&gt;1,"n.d.",IF(COUNTIFS('Anomalies'!$C$19:$C$23,"FR0000120321_2026-10-09",'Anomalies'!$D$19:$D$23,"CoursEUR",'Anomalies'!$F$19:$F$23,"OUI")=1,SUMIFS('Anomalies'!$E$19:$E$23,'Anomalies'!$C$19:$C$23,"FR0000120321_2026-10-09",'Anomalies'!$D$19:$D$23,"CoursEUR",'Anomalies'!$F$19:$F$23,"OUI"),SUMIFS('Marché'!$E$7:$E$106,'Marché'!$C$7:$C$106,B190,'Marché'!$D$7:$D$106,C190)))</x:f>
        <x:v>n.d.</x:v>
      </x:c>
      <x:c r="G190" s="36" t="str">
        <x:f>IF(H190&lt;&gt;1,"",IF(COUNTIFS('Anomalies'!$C$19:$C$23,"FR0000120321_2026-10-09",'Anomalies'!$D$19:$D$23,"CoursEUR",'Anomalies'!$F$19:$F$23,"OUI")=1,B190,SUMIFS('Marché'!$F$7:$F$106,'Marché'!$C$7:$C$106,B190,'Marché'!$D$7:$D$106,C190)))</x:f>
      </x:c>
      <x:c r="H190" s="30" t="n">
        <x:f>COUNTIFS('Marché'!$C$7:$C$106,B190,'Marché'!$D$7:$D$106,C190)</x:f>
        <x:v>0</x:v>
      </x:c>
      <x:c r="I190" s="32" t="str">
        <x:f>IF(M190="OK",D190*F190,"n.d.")</x:f>
        <x:v>n.d.</x:v>
      </x:c>
      <x:c r="J190" s="30" t="str">
        <x:f>IF(N190=1,SUMIFS('Dépositaire'!$Q$7:$Q$106,'Dépositaire'!$O$7:$O$106,B190,'Dépositaire'!$P$7:$P$106,C190),"n.d.")</x:f>
        <x:v>n.d.</x:v>
      </x:c>
      <x:c r="K190" s="30" t="str">
        <x:f>IF(ISNUMBER(J190),E190-J190,"n.d.")</x:f>
        <x:v>n.d.</x:v>
      </x:c>
      <x:c r="L190" s="37" t="str">
        <x:f>IF(OR(D190&lt;0,E190&lt;0),"Position négative","OK")</x:f>
        <x:v>OK</x:v>
      </x:c>
      <x:c r="M190" s="37" t="str">
        <x:f>IF(COUNTIFS('Marché'!$B$7:$B$106,"FR0000120321_2026-10-09")&lt;&gt;1,"Clé cours absente/dupliquée",IF(H190&lt;&gt;1,"Cours absent ou dupliqué",IF(NOT(ISNUMBER(F190)),"Cours invalide",IF(F190&lt;=0,"Cours invalide",IF(G190&lt;&gt;B190,"Cours périmé","OK")))))</x:f>
        <x:v>Clé cours absente/dupliquée</x:v>
      </x:c>
      <x:c r="N190" s="30" t="n">
        <x:f>COUNTIFS('Dépositaire'!$O$7:$O$106,B190,'Dépositaire'!$P$7:$P$106,C190)</x:f>
        <x:v>0</x:v>
      </x:c>
      <x:c r="O190" s="30"/>
      <x:c r="P190" s="30"/>
      <x:c r="Q190" s="30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34" customHeight="1">
      <x:c r="A200" s="2"/>
      <x:c r="B200" s="8" t="str">
        <x:v>Date</x:v>
      </x:c>
      <x:c r="C200" s="8" t="str">
        <x:v>Titres valorisés EUR</x:v>
      </x:c>
      <x:c r="D200" s="8" t="str">
        <x:v>Espèces internes EUR</x:v>
      </x:c>
      <x:c r="E200" s="8" t="str">
        <x:v>Créances ventes EUR</x:v>
      </x:c>
      <x:c r="F200" s="8" t="str">
        <x:v>Dettes achats EUR</x:v>
      </x:c>
      <x:c r="G200" s="8" t="str">
        <x:v>Charges à payer EUR</x:v>
      </x:c>
      <x:c r="H200" s="8" t="str">
        <x:v>Actif net EUR</x:v>
      </x:c>
      <x:c r="I200" s="8" t="str">
        <x:v>Parts</x:v>
      </x:c>
      <x:c r="J200" s="8" t="str">
        <x:v>VL EUR</x:v>
      </x:c>
      <x:c r="K200" s="8" t="str">
        <x:v>Actif net référence EUR</x:v>
      </x:c>
      <x:c r="L200" s="8" t="str">
        <x:v>Écart actif net EUR</x:v>
      </x:c>
      <x:c r="M200" s="8" t="str">
        <x:v>Couverture espèces</x:v>
      </x:c>
      <x:c r="N200" s="8" t="str">
        <x:v>Couverture VL</x:v>
      </x:c>
      <x:c r="O200" s="30"/>
      <x:c r="P200" s="30"/>
      <x:c r="Q200" s="30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31" t="n">
        <x:v>46279</x:v>
      </x:c>
      <x:c r="C201" s="32" t="n">
        <x:f>IF(COUNTIFS($B$91:$B$190,B201,$M$91:$M$190,"&lt;&gt;OK")+COUNTIFS($B$91:$B$190,B201,$L$91:$L$190,"&lt;&gt;OK")&gt;0,"n.d.",SUMIFS($I$91:$I$190,$B$91:$B$190,B201))</x:f>
        <x:v>490452.5</x:v>
      </x:c>
      <x:c r="D201" s="32" t="n">
        <x:f>'Pilotage'!$C$7+SUMIFS($N$7:$N$76,$D$7:$D$76,"&lt;="&amp;B201,$F$7:$F$76,"&gt;0",$F$7:$F$76,"&lt;="&amp;B201)+SUMIFS('Transactions'!$Q$7:$Q$26,'Transactions'!$P$7:$P$26,"&lt;="&amp;B201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201),SUMIFS('Anomalies'!$E$19:$E$23,'Anomalies'!$C$19:$C$23,"BANK-001",'Anomalies'!$D$19:$D$23,"FluxEUR",'Anomalies'!$F$19:$F$23,"OUI"),0)</x:f>
        <x:v>1000000</x:v>
      </x:c>
      <x:c r="E201" s="32" t="n">
        <x:f>SUMIFS($N$7:$N$76,$H$7:$H$76,"VENTE",$D$7:$D$76,"&lt;="&amp;B201,$F$7:$F$76,"&gt;"&amp;B201)+SUMIFS($N$7:$N$76,$H$7:$H$76,"VENTE",$D$7:$D$76,"&lt;="&amp;B201,$F$7:$F$76,0)</x:f>
        <x:v>0</x:v>
      </x:c>
      <x:c r="F201" s="32" t="n">
        <x:f>-SUMIFS($N$7:$N$76,$H$7:$H$76,"ACHAT",$D$7:$D$76,"&lt;="&amp;B201,$F$7:$F$76,"&gt;"&amp;B201)-SUMIFS($N$7:$N$76,$H$7:$H$76,"ACHAT",$D$7:$D$76,"&lt;="&amp;B201,$F$7:$F$76,0)</x:f>
        <x:v>490526.5</x:v>
      </x:c>
      <x:c r="G201" s="32" t="n">
        <x:f>MAX(0,B201-'Pilotage'!$C$9+1)*'Pilotage'!$C$10</x:f>
        <x:v>10</x:v>
      </x:c>
      <x:c r="H201" s="32" t="n">
        <x:f>IF(ISNUMBER(C201),ROUND(SUM(C201:E201)-SUM(F201:G201),2),"n.d.")</x:f>
        <x:v>999916</x:v>
      </x:c>
      <x:c r="I201" s="32" t="n">
        <x:f>'Pilotage'!$C$8</x:f>
        <x:v>10000</x:v>
      </x:c>
      <x:c r="J201" s="34" t="n">
        <x:f>IF(AND(ISNUMBER(H201),I201&gt;0),H201/I201,"n.d.")</x:f>
        <x:v>99.9916</x:v>
      </x:c>
      <x:c r="K201" s="32" t="n">
        <x:f>IF(N201=1,SUMIFS('Dépositaire'!$Y$7:$Y$26,'Dépositaire'!$X$7:$X$26,B201),"n.d.")</x:f>
        <x:v>999916</x:v>
      </x:c>
      <x:c r="L201" s="32" t="n">
        <x:f>IF(AND(ISNUMBER(H201),ISNUMBER(K201)),H201-K201,"n.d.")</x:f>
        <x:v>0</x:v>
      </x:c>
      <x:c r="M201" s="30" t="n">
        <x:f>COUNTIFS('Dépositaire'!$T$7:$T$26,B201)</x:f>
        <x:v>1</x:v>
      </x:c>
      <x:c r="N201" s="30" t="n">
        <x:f>COUNTIFS('Dépositaire'!$X$7:$X$26,B201)</x:f>
        <x:v>1</x:v>
      </x:c>
      <x:c r="O201" s="30"/>
      <x:c r="P201" s="30"/>
      <x:c r="Q201" s="30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31" t="n">
        <x:v>46280</x:v>
      </x:c>
      <x:c r="C202" s="32" t="n">
        <x:f>IF(COUNTIFS($B$91:$B$190,B202,$M$91:$M$190,"&lt;&gt;OK")+COUNTIFS($B$91:$B$190,B202,$L$91:$L$190,"&lt;&gt;OK")&gt;0,"n.d.",SUMIFS($I$91:$I$190,$B$91:$B$190,B202))</x:f>
        <x:v>515127</x:v>
      </x:c>
      <x:c r="D202" s="32" t="n">
        <x:f>'Pilotage'!$C$7+SUMIFS($N$7:$N$76,$D$7:$D$76,"&lt;="&amp;B202,$F$7:$F$76,"&gt;0",$F$7:$F$76,"&lt;="&amp;B202)+SUMIFS('Transactions'!$Q$7:$Q$26,'Transactions'!$P$7:$P$26,"&lt;="&amp;B202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202),SUMIFS('Anomalies'!$E$19:$E$23,'Anomalies'!$C$19:$C$23,"BANK-001",'Anomalies'!$D$19:$D$23,"FluxEUR",'Anomalies'!$F$19:$F$23,"OUI"),0)</x:f>
        <x:v>1000000</x:v>
      </x:c>
      <x:c r="E202" s="32" t="n">
        <x:f>SUMIFS($N$7:$N$76,$H$7:$H$76,"VENTE",$D$7:$D$76,"&lt;="&amp;B202,$F$7:$F$76,"&gt;"&amp;B202)+SUMIFS($N$7:$N$76,$H$7:$H$76,"VENTE",$D$7:$D$76,"&lt;="&amp;B202,$F$7:$F$76,0)</x:f>
        <x:v>12091</x:v>
      </x:c>
      <x:c r="F202" s="32" t="n">
        <x:f>-SUMIFS($N$7:$N$76,$H$7:$H$76,"ACHAT",$D$7:$D$76,"&lt;="&amp;B202,$F$7:$F$76,"&gt;"&amp;B202)-SUMIFS($N$7:$N$76,$H$7:$H$76,"ACHAT",$D$7:$D$76,"&lt;="&amp;B202,$F$7:$F$76,0)</x:f>
        <x:v>526276.5</x:v>
      </x:c>
      <x:c r="G202" s="32" t="n">
        <x:f>MAX(0,B202-'Pilotage'!$C$9+1)*'Pilotage'!$C$10</x:f>
        <x:v>20</x:v>
      </x:c>
      <x:c r="H202" s="32" t="n">
        <x:f>IF(ISNUMBER(C202),ROUND(SUM(C202:E202)-SUM(F202:G202),2),"n.d.")</x:f>
        <x:v>1000921.5</x:v>
      </x:c>
      <x:c r="I202" s="32" t="n">
        <x:f>'Pilotage'!$C$8</x:f>
        <x:v>10000</x:v>
      </x:c>
      <x:c r="J202" s="34" t="n">
        <x:f>IF(AND(ISNUMBER(H202),I202&gt;0),H202/I202,"n.d.")</x:f>
        <x:v>100.09215</x:v>
      </x:c>
      <x:c r="K202" s="32" t="n">
        <x:f>IF(N202=1,SUMIFS('Dépositaire'!$Y$7:$Y$26,'Dépositaire'!$X$7:$X$26,B202),"n.d.")</x:f>
        <x:v>1000921.5</x:v>
      </x:c>
      <x:c r="L202" s="32" t="n">
        <x:f>IF(AND(ISNUMBER(H202),ISNUMBER(K202)),H202-K202,"n.d.")</x:f>
        <x:v>0</x:v>
      </x:c>
      <x:c r="M202" s="30" t="n">
        <x:f>COUNTIFS('Dépositaire'!$T$7:$T$26,B202)</x:f>
        <x:v>1</x:v>
      </x:c>
      <x:c r="N202" s="30" t="n">
        <x:f>COUNTIFS('Dépositaire'!$X$7:$X$26,B202)</x:f>
        <x:v>1</x:v>
      </x:c>
      <x:c r="O202" s="30"/>
      <x:c r="P202" s="30"/>
      <x:c r="Q202" s="30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31" t="n">
        <x:v>46281</x:v>
      </x:c>
      <x:c r="C203" s="32" t="n">
        <x:f>IF(COUNTIFS($B$91:$B$190,B203,$M$91:$M$190,"&lt;&gt;OK")+COUNTIFS($B$91:$B$190,B203,$L$91:$L$190,"&lt;&gt;OK")&gt;0,"n.d.",SUMIFS($I$91:$I$190,$B$91:$B$190,B203))</x:f>
        <x:v>516237</x:v>
      </x:c>
      <x:c r="D203" s="32" t="n">
        <x:f>'Pilotage'!$C$7+SUMIFS($N$7:$N$76,$D$7:$D$76,"&lt;="&amp;B203,$F$7:$F$76,"&gt;0",$F$7:$F$76,"&lt;="&amp;B203)+SUMIFS('Transactions'!$Q$7:$Q$26,'Transactions'!$P$7:$P$26,"&lt;="&amp;B203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203),SUMIFS('Anomalies'!$E$19:$E$23,'Anomalies'!$C$19:$C$23,"BANK-001",'Anomalies'!$D$19:$D$23,"FluxEUR",'Anomalies'!$F$19:$F$23,"OUI"),0)</x:f>
        <x:v>509473.5</x:v>
      </x:c>
      <x:c r="E203" s="32" t="n">
        <x:f>SUMIFS($N$7:$N$76,$H$7:$H$76,"VENTE",$D$7:$D$76,"&lt;="&amp;B203,$F$7:$F$76,"&gt;"&amp;B203)+SUMIFS($N$7:$N$76,$H$7:$H$76,"VENTE",$D$7:$D$76,"&lt;="&amp;B203,$F$7:$F$76,0)</x:f>
        <x:v>22551</x:v>
      </x:c>
      <x:c r="F203" s="32" t="n">
        <x:f>-SUMIFS($N$7:$N$76,$H$7:$H$76,"ACHAT",$D$7:$D$76,"&lt;="&amp;B203,$F$7:$F$76,"&gt;"&amp;B203)-SUMIFS($N$7:$N$76,$H$7:$H$76,"ACHAT",$D$7:$D$76,"&lt;="&amp;B203,$F$7:$F$76,0)</x:f>
        <x:v>47337</x:v>
      </x:c>
      <x:c r="G203" s="32" t="n">
        <x:f>MAX(0,B203-'Pilotage'!$C$9+1)*'Pilotage'!$C$10</x:f>
        <x:v>30</x:v>
      </x:c>
      <x:c r="H203" s="32" t="n">
        <x:f>IF(ISNUMBER(C203),ROUND(SUM(C203:E203)-SUM(F203:G203),2),"n.d.")</x:f>
        <x:v>1000894.5</x:v>
      </x:c>
      <x:c r="I203" s="32" t="n">
        <x:f>'Pilotage'!$C$8</x:f>
        <x:v>10000</x:v>
      </x:c>
      <x:c r="J203" s="34" t="n">
        <x:f>IF(AND(ISNUMBER(H203),I203&gt;0),H203/I203,"n.d.")</x:f>
        <x:v>100.08945</x:v>
      </x:c>
      <x:c r="K203" s="32" t="n">
        <x:f>IF(N203=1,SUMIFS('Dépositaire'!$Y$7:$Y$26,'Dépositaire'!$X$7:$X$26,B203),"n.d.")</x:f>
        <x:v>1000894.5</x:v>
      </x:c>
      <x:c r="L203" s="32" t="n">
        <x:f>IF(AND(ISNUMBER(H203),ISNUMBER(K203)),H203-K203,"n.d.")</x:f>
        <x:v>0</x:v>
      </x:c>
      <x:c r="M203" s="30" t="n">
        <x:f>COUNTIFS('Dépositaire'!$T$7:$T$26,B203)</x:f>
        <x:v>1</x:v>
      </x:c>
      <x:c r="N203" s="30" t="n">
        <x:f>COUNTIFS('Dépositaire'!$X$7:$X$26,B203)</x:f>
        <x:v>1</x:v>
      </x:c>
      <x:c r="O203" s="30"/>
      <x:c r="P203" s="30"/>
      <x:c r="Q203" s="30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31" t="n">
        <x:v>46282</x:v>
      </x:c>
      <x:c r="C204" s="32" t="n">
        <x:f>IF(COUNTIFS($B$91:$B$190,B204,$M$91:$M$190,"&lt;&gt;OK")+COUNTIFS($B$91:$B$190,B204,$L$91:$L$190,"&lt;&gt;OK")&gt;0,"n.d.",SUMIFS($I$91:$I$190,$B$91:$B$190,B204))</x:f>
        <x:v>512000.3</x:v>
      </x:c>
      <x:c r="D204" s="32" t="n">
        <x:f>'Pilotage'!$C$7+SUMIFS($N$7:$N$76,$D$7:$D$76,"&lt;="&amp;B204,$F$7:$F$76,"&gt;0",$F$7:$F$76,"&lt;="&amp;B204)+SUMIFS('Transactions'!$Q$7:$Q$26,'Transactions'!$P$7:$P$26,"&lt;="&amp;B204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204),SUMIFS('Anomalies'!$E$19:$E$23,'Anomalies'!$C$19:$C$23,"BANK-001",'Anomalies'!$D$19:$D$23,"FluxEUR",'Anomalies'!$F$19:$F$23,"OUI"),0)</x:f>
        <x:v>485814.5</x:v>
      </x:c>
      <x:c r="E204" s="32" t="n">
        <x:f>SUMIFS($N$7:$N$76,$H$7:$H$76,"VENTE",$D$7:$D$76,"&lt;="&amp;B204,$F$7:$F$76,"&gt;"&amp;B204)+SUMIFS($N$7:$N$76,$H$7:$H$76,"VENTE",$D$7:$D$76,"&lt;="&amp;B204,$F$7:$F$76,0)</x:f>
        <x:v>23688.6</x:v>
      </x:c>
      <x:c r="F204" s="32" t="n">
        <x:f>-SUMIFS($N$7:$N$76,$H$7:$H$76,"ACHAT",$D$7:$D$76,"&lt;="&amp;B204,$F$7:$F$76,"&gt;"&amp;B204)-SUMIFS($N$7:$N$76,$H$7:$H$76,"ACHAT",$D$7:$D$76,"&lt;="&amp;B204,$F$7:$F$76,0)</x:f>
        <x:v>20647.5</x:v>
      </x:c>
      <x:c r="G204" s="32" t="n">
        <x:f>MAX(0,B204-'Pilotage'!$C$9+1)*'Pilotage'!$C$10</x:f>
        <x:v>40</x:v>
      </x:c>
      <x:c r="H204" s="32" t="n">
        <x:f>IF(ISNUMBER(C204),ROUND(SUM(C204:E204)-SUM(F204:G204),2),"n.d.")</x:f>
        <x:v>1000815.9</x:v>
      </x:c>
      <x:c r="I204" s="32" t="n">
        <x:f>'Pilotage'!$C$8</x:f>
        <x:v>10000</x:v>
      </x:c>
      <x:c r="J204" s="34" t="n">
        <x:f>IF(AND(ISNUMBER(H204),I204&gt;0),H204/I204,"n.d.")</x:f>
        <x:v>100.08159</x:v>
      </x:c>
      <x:c r="K204" s="32" t="n">
        <x:f>IF(N204=1,SUMIFS('Dépositaire'!$Y$7:$Y$26,'Dépositaire'!$X$7:$X$26,B204),"n.d.")</x:f>
        <x:v>1000815.9</x:v>
      </x:c>
      <x:c r="L204" s="32" t="n">
        <x:f>IF(AND(ISNUMBER(H204),ISNUMBER(K204)),H204-K204,"n.d.")</x:f>
        <x:v>0</x:v>
      </x:c>
      <x:c r="M204" s="30" t="n">
        <x:f>COUNTIFS('Dépositaire'!$T$7:$T$26,B204)</x:f>
        <x:v>1</x:v>
      </x:c>
      <x:c r="N204" s="30" t="n">
        <x:f>COUNTIFS('Dépositaire'!$X$7:$X$26,B204)</x:f>
        <x:v>1</x:v>
      </x:c>
      <x:c r="O204" s="30"/>
      <x:c r="P204" s="30"/>
      <x:c r="Q204" s="30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31" t="n">
        <x:v>46283</x:v>
      </x:c>
      <x:c r="C205" s="32" t="n">
        <x:f>IF(COUNTIFS($B$91:$B$190,B205,$M$91:$M$190,"&lt;&gt;OK")+COUNTIFS($B$91:$B$190,B205,$L$91:$L$190,"&lt;&gt;OK")&gt;0,"n.d.",SUMIFS($I$91:$I$190,$B$91:$B$190,B205))</x:f>
        <x:v>502496.5</x:v>
      </x:c>
      <x:c r="D205" s="32" t="n">
        <x:f>'Pilotage'!$C$7+SUMIFS($N$7:$N$76,$D$7:$D$76,"&lt;="&amp;B205,$F$7:$F$76,"&gt;0",$F$7:$F$76,"&lt;="&amp;B205)+SUMIFS('Transactions'!$Q$7:$Q$26,'Transactions'!$P$7:$P$26,"&lt;="&amp;B205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205),SUMIFS('Anomalies'!$E$19:$E$23,'Anomalies'!$C$19:$C$23,"BANK-001",'Anomalies'!$D$19:$D$23,"FluxEUR",'Anomalies'!$F$19:$F$23,"OUI"),0)</x:f>
        <x:v>484687.5</x:v>
      </x:c>
      <x:c r="E205" s="32" t="n">
        <x:f>SUMIFS($N$7:$N$76,$H$7:$H$76,"VENTE",$D$7:$D$76,"&lt;="&amp;B205,$F$7:$F$76,"&gt;"&amp;B205)+SUMIFS($N$7:$N$76,$H$7:$H$76,"VENTE",$D$7:$D$76,"&lt;="&amp;B205,$F$7:$F$76,0)</x:f>
        <x:v>36299.6</x:v>
      </x:c>
      <x:c r="F205" s="32" t="n">
        <x:f>-SUMIFS($N$7:$N$76,$H$7:$H$76,"ACHAT",$D$7:$D$76,"&lt;="&amp;B205,$F$7:$F$76,"&gt;"&amp;B205)-SUMIFS($N$7:$N$76,$H$7:$H$76,"ACHAT",$D$7:$D$76,"&lt;="&amp;B205,$F$7:$F$76,0)</x:f>
        <x:v>21561.7</x:v>
      </x:c>
      <x:c r="G205" s="32" t="n">
        <x:f>MAX(0,B205-'Pilotage'!$C$9+1)*'Pilotage'!$C$10</x:f>
        <x:v>50</x:v>
      </x:c>
      <x:c r="H205" s="32" t="n">
        <x:f>IF(ISNUMBER(C205),ROUND(SUM(C205:E205)-SUM(F205:G205),2),"n.d.")</x:f>
        <x:v>1001871.9</x:v>
      </x:c>
      <x:c r="I205" s="32" t="n">
        <x:f>'Pilotage'!$C$8</x:f>
        <x:v>10000</x:v>
      </x:c>
      <x:c r="J205" s="34" t="n">
        <x:f>IF(AND(ISNUMBER(H205),I205&gt;0),H205/I205,"n.d.")</x:f>
        <x:v>100.18719</x:v>
      </x:c>
      <x:c r="K205" s="32" t="n">
        <x:f>IF(N205=1,SUMIFS('Dépositaire'!$Y$7:$Y$26,'Dépositaire'!$X$7:$X$26,B205),"n.d.")</x:f>
        <x:v>1001871.9</x:v>
      </x:c>
      <x:c r="L205" s="32" t="n">
        <x:f>IF(AND(ISNUMBER(H205),ISNUMBER(K205)),H205-K205,"n.d.")</x:f>
        <x:v>0</x:v>
      </x:c>
      <x:c r="M205" s="30" t="n">
        <x:f>COUNTIFS('Dépositaire'!$T$7:$T$26,B205)</x:f>
        <x:v>1</x:v>
      </x:c>
      <x:c r="N205" s="30" t="n">
        <x:f>COUNTIFS('Dépositaire'!$X$7:$X$26,B205)</x:f>
        <x:v>1</x:v>
      </x:c>
      <x:c r="O205" s="30"/>
      <x:c r="P205" s="30"/>
      <x:c r="Q205" s="30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31" t="n">
        <x:v>46286</x:v>
      </x:c>
      <x:c r="C206" s="32" t="n">
        <x:f>IF(COUNTIFS($B$91:$B$190,B206,$M$91:$M$190,"&lt;&gt;OK")+COUNTIFS($B$91:$B$190,B206,$L$91:$L$190,"&lt;&gt;OK")&gt;0,"n.d.",SUMIFS($I$91:$I$190,$B$91:$B$190,B206))</x:f>
        <x:v>528389</x:v>
      </x:c>
      <x:c r="D206" s="32" t="n">
        <x:f>'Pilotage'!$C$7+SUMIFS($N$7:$N$76,$D$7:$D$76,"&lt;="&amp;B206,$F$7:$F$76,"&gt;0",$F$7:$F$76,"&lt;="&amp;B206)+SUMIFS('Transactions'!$Q$7:$Q$26,'Transactions'!$P$7:$P$26,"&lt;="&amp;B206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206),SUMIFS('Anomalies'!$E$19:$E$23,'Anomalies'!$C$19:$C$23,"BANK-001",'Anomalies'!$D$19:$D$23,"FluxEUR",'Anomalies'!$F$19:$F$23,"OUI"),0)</x:f>
        <x:v>488855.6</x:v>
      </x:c>
      <x:c r="E206" s="32" t="n">
        <x:f>SUMIFS($N$7:$N$76,$H$7:$H$76,"VENTE",$D$7:$D$76,"&lt;="&amp;B206,$F$7:$F$76,"&gt;"&amp;B206)+SUMIFS($N$7:$N$76,$H$7:$H$76,"VENTE",$D$7:$D$76,"&lt;="&amp;B206,$F$7:$F$76,0)</x:f>
        <x:v>23071</x:v>
      </x:c>
      <x:c r="F206" s="32" t="n">
        <x:f>-SUMIFS($N$7:$N$76,$H$7:$H$76,"ACHAT",$D$7:$D$76,"&lt;="&amp;B206,$F$7:$F$76,"&gt;"&amp;B206)-SUMIFS($N$7:$N$76,$H$7:$H$76,"ACHAT",$D$7:$D$76,"&lt;="&amp;B206,$F$7:$F$76,0)</x:f>
        <x:v>38545.4</x:v>
      </x:c>
      <x:c r="G206" s="32" t="n">
        <x:f>MAX(0,B206-'Pilotage'!$C$9+1)*'Pilotage'!$C$10</x:f>
        <x:v>80</x:v>
      </x:c>
      <x:c r="H206" s="32" t="n">
        <x:f>IF(ISNUMBER(C206),ROUND(SUM(C206:E206)-SUM(F206:G206),2),"n.d.")</x:f>
        <x:v>1001690.2</x:v>
      </x:c>
      <x:c r="I206" s="32" t="n">
        <x:f>'Pilotage'!$C$8</x:f>
        <x:v>10000</x:v>
      </x:c>
      <x:c r="J206" s="34" t="n">
        <x:f>IF(AND(ISNUMBER(H206),I206&gt;0),H206/I206,"n.d.")</x:f>
        <x:v>100.16901999999999</x:v>
      </x:c>
      <x:c r="K206" s="32" t="n">
        <x:f>IF(N206=1,SUMIFS('Dépositaire'!$Y$7:$Y$26,'Dépositaire'!$X$7:$X$26,B206),"n.d.")</x:f>
        <x:v>1001690.2</x:v>
      </x:c>
      <x:c r="L206" s="32" t="n">
        <x:f>IF(AND(ISNUMBER(H206),ISNUMBER(K206)),H206-K206,"n.d.")</x:f>
        <x:v>0</x:v>
      </x:c>
      <x:c r="M206" s="30" t="n">
        <x:f>COUNTIFS('Dépositaire'!$T$7:$T$26,B206)</x:f>
        <x:v>1</x:v>
      </x:c>
      <x:c r="N206" s="30" t="n">
        <x:f>COUNTIFS('Dépositaire'!$X$7:$X$26,B206)</x:f>
        <x:v>1</x:v>
      </x:c>
      <x:c r="O206" s="30"/>
      <x:c r="P206" s="30"/>
      <x:c r="Q206" s="30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31" t="n">
        <x:v>46287</x:v>
      </x:c>
      <x:c r="C207" s="32" t="n">
        <x:f>IF(COUNTIFS($B$91:$B$190,B207,$M$91:$M$190,"&lt;&gt;OK")+COUNTIFS($B$91:$B$190,B207,$L$91:$L$190,"&lt;&gt;OK")&gt;0,"n.d.",SUMIFS($I$91:$I$190,$B$91:$B$190,B207))</x:f>
        <x:v>530364.8</x:v>
      </x:c>
      <x:c r="D207" s="32" t="n">
        <x:f>'Pilotage'!$C$7+SUMIFS($N$7:$N$76,$D$7:$D$76,"&lt;="&amp;B207,$F$7:$F$76,"&gt;0",$F$7:$F$76,"&lt;="&amp;B207)+SUMIFS('Transactions'!$Q$7:$Q$26,'Transactions'!$P$7:$P$26,"&lt;="&amp;B207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207),SUMIFS('Anomalies'!$E$19:$E$23,'Anomalies'!$C$19:$C$23,"BANK-001",'Anomalies'!$D$19:$D$23,"FluxEUR",'Anomalies'!$F$19:$F$23,"OUI"),0)</x:f>
        <x:v>499425.39999999997</x:v>
      </x:c>
      <x:c r="E207" s="32" t="n">
        <x:f>SUMIFS($N$7:$N$76,$H$7:$H$76,"VENTE",$D$7:$D$76,"&lt;="&amp;B207,$F$7:$F$76,"&gt;"&amp;B207)+SUMIFS($N$7:$N$76,$H$7:$H$76,"VENTE",$D$7:$D$76,"&lt;="&amp;B207,$F$7:$F$76,0)</x:f>
        <x:v>5793</x:v>
      </x:c>
      <x:c r="F207" s="32" t="n">
        <x:f>-SUMIFS($N$7:$N$76,$H$7:$H$76,"ACHAT",$D$7:$D$76,"&lt;="&amp;B207,$F$7:$F$76,"&gt;"&amp;B207)-SUMIFS($N$7:$N$76,$H$7:$H$76,"ACHAT",$D$7:$D$76,"&lt;="&amp;B207,$F$7:$F$76,0)</x:f>
        <x:v>33703.2</x:v>
      </x:c>
      <x:c r="G207" s="32" t="n">
        <x:f>MAX(0,B207-'Pilotage'!$C$9+1)*'Pilotage'!$C$10</x:f>
        <x:v>90</x:v>
      </x:c>
      <x:c r="H207" s="32" t="n">
        <x:f>IF(ISNUMBER(C207),ROUND(SUM(C207:E207)-SUM(F207:G207),2),"n.d.")</x:f>
        <x:v>1001790</x:v>
      </x:c>
      <x:c r="I207" s="32" t="n">
        <x:f>'Pilotage'!$C$8</x:f>
        <x:v>10000</x:v>
      </x:c>
      <x:c r="J207" s="34" t="n">
        <x:f>IF(AND(ISNUMBER(H207),I207&gt;0),H207/I207,"n.d.")</x:f>
        <x:v>100.179</x:v>
      </x:c>
      <x:c r="K207" s="32" t="n">
        <x:f>IF(N207=1,SUMIFS('Dépositaire'!$Y$7:$Y$26,'Dépositaire'!$X$7:$X$26,B207),"n.d.")</x:f>
        <x:v>1001790</x:v>
      </x:c>
      <x:c r="L207" s="32" t="n">
        <x:f>IF(AND(ISNUMBER(H207),ISNUMBER(K207)),H207-K207,"n.d.")</x:f>
        <x:v>0</x:v>
      </x:c>
      <x:c r="M207" s="30" t="n">
        <x:f>COUNTIFS('Dépositaire'!$T$7:$T$26,B207)</x:f>
        <x:v>1</x:v>
      </x:c>
      <x:c r="N207" s="30" t="n">
        <x:f>COUNTIFS('Dépositaire'!$X$7:$X$26,B207)</x:f>
        <x:v>1</x:v>
      </x:c>
      <x:c r="O207" s="30"/>
      <x:c r="P207" s="30"/>
      <x:c r="Q207" s="30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31" t="n">
        <x:v>46288</x:v>
      </x:c>
      <x:c r="C208" s="32" t="n">
        <x:f>IF(COUNTIFS($B$91:$B$190,B208,$M$91:$M$190,"&lt;&gt;OK")+COUNTIFS($B$91:$B$190,B208,$L$91:$L$190,"&lt;&gt;OK")&gt;0,"n.d.",SUMIFS($I$91:$I$190,$B$91:$B$190,B208))</x:f>
        <x:v>531768.65</x:v>
      </x:c>
      <x:c r="D208" s="32" t="n">
        <x:f>'Pilotage'!$C$7+SUMIFS($N$7:$N$76,$D$7:$D$76,"&lt;="&amp;B208,$F$7:$F$76,"&gt;0",$F$7:$F$76,"&lt;="&amp;B208)+SUMIFS('Transactions'!$Q$7:$Q$26,'Transactions'!$P$7:$P$26,"&lt;="&amp;B208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208),SUMIFS('Anomalies'!$E$19:$E$23,'Anomalies'!$C$19:$C$23,"BANK-001",'Anomalies'!$D$19:$D$23,"FluxEUR",'Anomalies'!$F$19:$F$23,"OUI"),0)</x:f>
        <x:v>481694.8</x:v>
      </x:c>
      <x:c r="E208" s="32" t="n">
        <x:f>SUMIFS($N$7:$N$76,$H$7:$H$76,"VENTE",$D$7:$D$76,"&lt;="&amp;B208,$F$7:$F$76,"&gt;"&amp;B208)+SUMIFS($N$7:$N$76,$H$7:$H$76,"VENTE",$D$7:$D$76,"&lt;="&amp;B208,$F$7:$F$76,0)</x:f>
        <x:v>10378</x:v>
      </x:c>
      <x:c r="F208" s="32" t="n">
        <x:f>-SUMIFS($N$7:$N$76,$H$7:$H$76,"ACHAT",$D$7:$D$76,"&lt;="&amp;B208,$F$7:$F$76,"&gt;"&amp;B208)-SUMIFS($N$7:$N$76,$H$7:$H$76,"ACHAT",$D$7:$D$76,"&lt;="&amp;B208,$F$7:$F$76,0)</x:f>
        <x:v>21009.3</x:v>
      </x:c>
      <x:c r="G208" s="32" t="n">
        <x:f>MAX(0,B208-'Pilotage'!$C$9+1)*'Pilotage'!$C$10</x:f>
        <x:v>100</x:v>
      </x:c>
      <x:c r="H208" s="32" t="n">
        <x:f>IF(ISNUMBER(C208),ROUND(SUM(C208:E208)-SUM(F208:G208),2),"n.d.")</x:f>
        <x:v>1002732.15</x:v>
      </x:c>
      <x:c r="I208" s="32" t="n">
        <x:f>'Pilotage'!$C$8</x:f>
        <x:v>10000</x:v>
      </x:c>
      <x:c r="J208" s="34" t="n">
        <x:f>IF(AND(ISNUMBER(H208),I208&gt;0),H208/I208,"n.d.")</x:f>
        <x:v>100.27321500000001</x:v>
      </x:c>
      <x:c r="K208" s="32" t="n">
        <x:f>IF(N208=1,SUMIFS('Dépositaire'!$Y$7:$Y$26,'Dépositaire'!$X$7:$X$26,B208),"n.d.")</x:f>
        <x:v>1002732.15</x:v>
      </x:c>
      <x:c r="L208" s="32" t="n">
        <x:f>IF(AND(ISNUMBER(H208),ISNUMBER(K208)),H208-K208,"n.d.")</x:f>
        <x:v>0</x:v>
      </x:c>
      <x:c r="M208" s="30" t="n">
        <x:f>COUNTIFS('Dépositaire'!$T$7:$T$26,B208)</x:f>
        <x:v>1</x:v>
      </x:c>
      <x:c r="N208" s="30" t="n">
        <x:f>COUNTIFS('Dépositaire'!$X$7:$X$26,B208)</x:f>
        <x:v>1</x:v>
      </x:c>
      <x:c r="O208" s="30"/>
      <x:c r="P208" s="30"/>
      <x:c r="Q208" s="30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31" t="n">
        <x:v>46289</x:v>
      </x:c>
      <x:c r="C209" s="32" t="n">
        <x:f>IF(COUNTIFS($B$91:$B$190,B209,$M$91:$M$190,"&lt;&gt;OK")+COUNTIFS($B$91:$B$190,B209,$L$91:$L$190,"&lt;&gt;OK")&gt;0,"n.d.",SUMIFS($I$91:$I$190,$B$91:$B$190,B209))</x:f>
        <x:v>535836.65</x:v>
      </x:c>
      <x:c r="D209" s="32" t="n">
        <x:f>'Pilotage'!$C$7+SUMIFS($N$7:$N$76,$D$7:$D$76,"&lt;="&amp;B209,$F$7:$F$76,"&gt;0",$F$7:$F$76,"&lt;="&amp;B209)+SUMIFS('Transactions'!$Q$7:$Q$26,'Transactions'!$P$7:$P$26,"&lt;="&amp;B209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209),SUMIFS('Anomalies'!$E$19:$E$23,'Anomalies'!$C$19:$C$23,"BANK-001",'Anomalies'!$D$19:$D$23,"FluxEUR",'Anomalies'!$F$19:$F$23,"OUI"),0)</x:f>
        <x:v>479828.8</x:v>
      </x:c>
      <x:c r="E209" s="32" t="n">
        <x:f>SUMIFS($N$7:$N$76,$H$7:$H$76,"VENTE",$D$7:$D$76,"&lt;="&amp;B209,$F$7:$F$76,"&gt;"&amp;B209)+SUMIFS($N$7:$N$76,$H$7:$H$76,"VENTE",$D$7:$D$76,"&lt;="&amp;B209,$F$7:$F$76,0)</x:f>
        <x:v>9764.5</x:v>
      </x:c>
      <x:c r="F209" s="32" t="n">
        <x:f>-SUMIFS($N$7:$N$76,$H$7:$H$76,"ACHAT",$D$7:$D$76,"&lt;="&amp;B209,$F$7:$F$76,"&gt;"&amp;B209)-SUMIFS($N$7:$N$76,$H$7:$H$76,"ACHAT",$D$7:$D$76,"&lt;="&amp;B209,$F$7:$F$76,0)</x:f>
        <x:v>22723.3</x:v>
      </x:c>
      <x:c r="G209" s="32" t="n">
        <x:f>MAX(0,B209-'Pilotage'!$C$9+1)*'Pilotage'!$C$10</x:f>
        <x:v>110</x:v>
      </x:c>
      <x:c r="H209" s="32" t="n">
        <x:f>IF(ISNUMBER(C209),ROUND(SUM(C209:E209)-SUM(F209:G209),2),"n.d.")</x:f>
        <x:v>1002596.65</x:v>
      </x:c>
      <x:c r="I209" s="32" t="n">
        <x:f>'Pilotage'!$C$8</x:f>
        <x:v>10000</x:v>
      </x:c>
      <x:c r="J209" s="34" t="n">
        <x:f>IF(AND(ISNUMBER(H209),I209&gt;0),H209/I209,"n.d.")</x:f>
        <x:v>100.259665</x:v>
      </x:c>
      <x:c r="K209" s="32" t="n">
        <x:f>IF(N209=1,SUMIFS('Dépositaire'!$Y$7:$Y$26,'Dépositaire'!$X$7:$X$26,B209),"n.d.")</x:f>
        <x:v>1002596.65</x:v>
      </x:c>
      <x:c r="L209" s="32" t="n">
        <x:f>IF(AND(ISNUMBER(H209),ISNUMBER(K209)),H209-K209,"n.d.")</x:f>
        <x:v>0</x:v>
      </x:c>
      <x:c r="M209" s="30" t="n">
        <x:f>COUNTIFS('Dépositaire'!$T$7:$T$26,B209)</x:f>
        <x:v>1</x:v>
      </x:c>
      <x:c r="N209" s="30" t="n">
        <x:f>COUNTIFS('Dépositaire'!$X$7:$X$26,B209)</x:f>
        <x:v>1</x:v>
      </x:c>
      <x:c r="O209" s="30"/>
      <x:c r="P209" s="30"/>
      <x:c r="Q209" s="30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31" t="n">
        <x:v>46290</x:v>
      </x:c>
      <x:c r="C210" s="32" t="n">
        <x:f>IF(COUNTIFS($B$91:$B$190,B210,$M$91:$M$190,"&lt;&gt;OK")+COUNTIFS($B$91:$B$190,B210,$L$91:$L$190,"&lt;&gt;OK")&gt;0,"n.d.",SUMIFS($I$91:$I$190,$B$91:$B$190,B210))</x:f>
        <x:v>530176.3</x:v>
      </x:c>
      <x:c r="D210" s="32" t="n">
        <x:f>'Pilotage'!$C$7+SUMIFS($N$7:$N$76,$D$7:$D$76,"&lt;="&amp;B210,$F$7:$F$76,"&gt;0",$F$7:$F$76,"&lt;="&amp;B210)+SUMIFS('Transactions'!$Q$7:$Q$26,'Transactions'!$P$7:$P$26,"&lt;="&amp;B210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210),SUMIFS('Anomalies'!$E$19:$E$23,'Anomalies'!$C$19:$C$23,"BANK-001",'Anomalies'!$D$19:$D$23,"FluxEUR",'Anomalies'!$F$19:$F$23,"OUI"),0)</x:f>
        <x:v>471063.5</x:v>
      </x:c>
      <x:c r="E210" s="32" t="n">
        <x:f>SUMIFS($N$7:$N$76,$H$7:$H$76,"VENTE",$D$7:$D$76,"&lt;="&amp;B210,$F$7:$F$76,"&gt;"&amp;B210)+SUMIFS($N$7:$N$76,$H$7:$H$76,"VENTE",$D$7:$D$76,"&lt;="&amp;B210,$F$7:$F$76,0)</x:f>
        <x:v>10894.3</x:v>
      </x:c>
      <x:c r="F210" s="32" t="n">
        <x:f>-SUMIFS($N$7:$N$76,$H$7:$H$76,"ACHAT",$D$7:$D$76,"&lt;="&amp;B210,$F$7:$F$76,"&gt;"&amp;B210)-SUMIFS($N$7:$N$76,$H$7:$H$76,"ACHAT",$D$7:$D$76,"&lt;="&amp;B210,$F$7:$F$76,0)</x:f>
        <x:v>9373</x:v>
      </x:c>
      <x:c r="G210" s="32" t="n">
        <x:f>MAX(0,B210-'Pilotage'!$C$9+1)*'Pilotage'!$C$10</x:f>
        <x:v>120</x:v>
      </x:c>
      <x:c r="H210" s="32" t="n">
        <x:f>IF(ISNUMBER(C210),ROUND(SUM(C210:E210)-SUM(F210:G210),2),"n.d.")</x:f>
        <x:v>1002641.1</x:v>
      </x:c>
      <x:c r="I210" s="32" t="n">
        <x:f>'Pilotage'!$C$8</x:f>
        <x:v>10000</x:v>
      </x:c>
      <x:c r="J210" s="34" t="n">
        <x:f>IF(AND(ISNUMBER(H210),I210&gt;0),H210/I210,"n.d.")</x:f>
        <x:v>100.26411</x:v>
      </x:c>
      <x:c r="K210" s="32" t="n">
        <x:f>IF(N210=1,SUMIFS('Dépositaire'!$Y$7:$Y$26,'Dépositaire'!$X$7:$X$26,B210),"n.d.")</x:f>
        <x:v>1002641.1</x:v>
      </x:c>
      <x:c r="L210" s="32" t="n">
        <x:f>IF(AND(ISNUMBER(H210),ISNUMBER(K210)),H210-K210,"n.d.")</x:f>
        <x:v>0</x:v>
      </x:c>
      <x:c r="M210" s="30" t="n">
        <x:f>COUNTIFS('Dépositaire'!$T$7:$T$26,B210)</x:f>
        <x:v>1</x:v>
      </x:c>
      <x:c r="N210" s="30" t="n">
        <x:f>COUNTIFS('Dépositaire'!$X$7:$X$26,B210)</x:f>
        <x:v>1</x:v>
      </x:c>
      <x:c r="O210" s="30"/>
      <x:c r="P210" s="30"/>
      <x:c r="Q210" s="30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31" t="n">
        <x:v>46293</x:v>
      </x:c>
      <x:c r="C211" s="32" t="str">
        <x:f>IF(COUNTIFS($B$91:$B$190,B211,$M$91:$M$190,"&lt;&gt;OK")+COUNTIFS($B$91:$B$190,B211,$L$91:$L$190,"&lt;&gt;OK")&gt;0,"n.d.",SUMIFS($I$91:$I$190,$B$91:$B$190,B211))</x:f>
        <x:v>n.d.</x:v>
      </x:c>
      <x:c r="D211" s="32" t="n">
        <x:f>'Pilotage'!$C$7+SUMIFS($N$7:$N$76,$D$7:$D$76,"&lt;="&amp;B211,$F$7:$F$76,"&gt;0",$F$7:$F$76,"&lt;="&amp;B211)+SUMIFS('Transactions'!$Q$7:$Q$26,'Transactions'!$P$7:$P$26,"&lt;="&amp;B211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211),SUMIFS('Anomalies'!$E$19:$E$23,'Anomalies'!$C$19:$C$23,"BANK-001",'Anomalies'!$D$19:$D$23,"FluxEUR",'Anomalies'!$F$19:$F$23,"OUI"),0)</x:f>
        <x:v>466870</x:v>
      </x:c>
      <x:c r="E211" s="32" t="n">
        <x:f>SUMIFS($N$7:$N$76,$H$7:$H$76,"VENTE",$D$7:$D$76,"&lt;="&amp;B211,$F$7:$F$76,"&gt;"&amp;B211)+SUMIFS($N$7:$N$76,$H$7:$H$76,"VENTE",$D$7:$D$76,"&lt;="&amp;B211,$F$7:$F$76,0)</x:f>
        <x:v>5714.8</x:v>
      </x:c>
      <x:c r="F211" s="32" t="n">
        <x:f>-SUMIFS($N$7:$N$76,$H$7:$H$76,"ACHAT",$D$7:$D$76,"&lt;="&amp;B211,$F$7:$F$76,"&gt;"&amp;B211)-SUMIFS($N$7:$N$76,$H$7:$H$76,"ACHAT",$D$7:$D$76,"&lt;="&amp;B211,$F$7:$F$76,0)</x:f>
        <x:v>0</x:v>
      </x:c>
      <x:c r="G211" s="32" t="n">
        <x:f>MAX(0,B211-'Pilotage'!$C$9+1)*'Pilotage'!$C$10</x:f>
        <x:v>150</x:v>
      </x:c>
      <x:c r="H211" s="32" t="str">
        <x:f>IF(ISNUMBER(C211),ROUND(SUM(C211:E211)-SUM(F211:G211),2),"n.d.")</x:f>
        <x:v>n.d.</x:v>
      </x:c>
      <x:c r="I211" s="32" t="n">
        <x:f>'Pilotage'!$C$8</x:f>
        <x:v>10000</x:v>
      </x:c>
      <x:c r="J211" s="34" t="str">
        <x:f>IF(AND(ISNUMBER(H211),I211&gt;0),H211/I211,"n.d.")</x:f>
        <x:v>n.d.</x:v>
      </x:c>
      <x:c r="K211" s="32" t="str">
        <x:f>IF(N211=1,SUMIFS('Dépositaire'!$Y$7:$Y$26,'Dépositaire'!$X$7:$X$26,B211),"n.d.")</x:f>
        <x:v>n.d.</x:v>
      </x:c>
      <x:c r="L211" s="32" t="str">
        <x:f>IF(AND(ISNUMBER(H211),ISNUMBER(K211)),H211-K211,"n.d.")</x:f>
        <x:v>n.d.</x:v>
      </x:c>
      <x:c r="M211" s="30" t="n">
        <x:f>COUNTIFS('Dépositaire'!$T$7:$T$26,B211)</x:f>
        <x:v>0</x:v>
      </x:c>
      <x:c r="N211" s="30" t="n">
        <x:f>COUNTIFS('Dépositaire'!$X$7:$X$26,B211)</x:f>
        <x:v>0</x:v>
      </x:c>
      <x:c r="O211" s="30"/>
      <x:c r="P211" s="30"/>
      <x:c r="Q211" s="30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31" t="n">
        <x:v>46294</x:v>
      </x:c>
      <x:c r="C212" s="32" t="str">
        <x:f>IF(COUNTIFS($B$91:$B$190,B212,$M$91:$M$190,"&lt;&gt;OK")+COUNTIFS($B$91:$B$190,B212,$L$91:$L$190,"&lt;&gt;OK")&gt;0,"n.d.",SUMIFS($I$91:$I$190,$B$91:$B$190,B212))</x:f>
        <x:v>n.d.</x:v>
      </x:c>
      <x:c r="D212" s="32" t="n">
        <x:f>'Pilotage'!$C$7+SUMIFS($N$7:$N$76,$D$7:$D$76,"&lt;="&amp;B212,$F$7:$F$76,"&gt;0",$F$7:$F$76,"&lt;="&amp;B212)+SUMIFS('Transactions'!$Q$7:$Q$26,'Transactions'!$P$7:$P$26,"&lt;="&amp;B212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212),SUMIFS('Anomalies'!$E$19:$E$23,'Anomalies'!$C$19:$C$23,"BANK-001",'Anomalies'!$D$19:$D$23,"FluxEUR",'Anomalies'!$F$19:$F$23,"OUI"),0)</x:f>
        <x:v>472584.79999999993</x:v>
      </x:c>
      <x:c r="E212" s="32" t="n">
        <x:f>SUMIFS($N$7:$N$76,$H$7:$H$76,"VENTE",$D$7:$D$76,"&lt;="&amp;B212,$F$7:$F$76,"&gt;"&amp;B212)+SUMIFS($N$7:$N$76,$H$7:$H$76,"VENTE",$D$7:$D$76,"&lt;="&amp;B212,$F$7:$F$76,0)</x:f>
        <x:v>0</x:v>
      </x:c>
      <x:c r="F212" s="32" t="n">
        <x:f>-SUMIFS($N$7:$N$76,$H$7:$H$76,"ACHAT",$D$7:$D$76,"&lt;="&amp;B212,$F$7:$F$76,"&gt;"&amp;B212)-SUMIFS($N$7:$N$76,$H$7:$H$76,"ACHAT",$D$7:$D$76,"&lt;="&amp;B212,$F$7:$F$76,0)</x:f>
        <x:v>0</x:v>
      </x:c>
      <x:c r="G212" s="32" t="n">
        <x:f>MAX(0,B212-'Pilotage'!$C$9+1)*'Pilotage'!$C$10</x:f>
        <x:v>160</x:v>
      </x:c>
      <x:c r="H212" s="32" t="str">
        <x:f>IF(ISNUMBER(C212),ROUND(SUM(C212:E212)-SUM(F212:G212),2),"n.d.")</x:f>
        <x:v>n.d.</x:v>
      </x:c>
      <x:c r="I212" s="32" t="n">
        <x:f>'Pilotage'!$C$8</x:f>
        <x:v>10000</x:v>
      </x:c>
      <x:c r="J212" s="34" t="str">
        <x:f>IF(AND(ISNUMBER(H212),I212&gt;0),H212/I212,"n.d.")</x:f>
        <x:v>n.d.</x:v>
      </x:c>
      <x:c r="K212" s="32" t="str">
        <x:f>IF(N212=1,SUMIFS('Dépositaire'!$Y$7:$Y$26,'Dépositaire'!$X$7:$X$26,B212),"n.d.")</x:f>
        <x:v>n.d.</x:v>
      </x:c>
      <x:c r="L212" s="32" t="str">
        <x:f>IF(AND(ISNUMBER(H212),ISNUMBER(K212)),H212-K212,"n.d.")</x:f>
        <x:v>n.d.</x:v>
      </x:c>
      <x:c r="M212" s="30" t="n">
        <x:f>COUNTIFS('Dépositaire'!$T$7:$T$26,B212)</x:f>
        <x:v>0</x:v>
      </x:c>
      <x:c r="N212" s="30" t="n">
        <x:f>COUNTIFS('Dépositaire'!$X$7:$X$26,B212)</x:f>
        <x:v>0</x:v>
      </x:c>
      <x:c r="O212" s="30"/>
      <x:c r="P212" s="30"/>
      <x:c r="Q212" s="30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31" t="n">
        <x:v>46295</x:v>
      </x:c>
      <x:c r="C213" s="32" t="str">
        <x:f>IF(COUNTIFS($B$91:$B$190,B213,$M$91:$M$190,"&lt;&gt;OK")+COUNTIFS($B$91:$B$190,B213,$L$91:$L$190,"&lt;&gt;OK")&gt;0,"n.d.",SUMIFS($I$91:$I$190,$B$91:$B$190,B213))</x:f>
        <x:v>n.d.</x:v>
      </x:c>
      <x:c r="D213" s="32" t="n">
        <x:f>'Pilotage'!$C$7+SUMIFS($N$7:$N$76,$D$7:$D$76,"&lt;="&amp;B213,$F$7:$F$76,"&gt;0",$F$7:$F$76,"&lt;="&amp;B213)+SUMIFS('Transactions'!$Q$7:$Q$26,'Transactions'!$P$7:$P$26,"&lt;="&amp;B213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213),SUMIFS('Anomalies'!$E$19:$E$23,'Anomalies'!$C$19:$C$23,"BANK-001",'Anomalies'!$D$19:$D$23,"FluxEUR",'Anomalies'!$F$19:$F$23,"OUI"),0)</x:f>
        <x:v>472584.79999999993</x:v>
      </x:c>
      <x:c r="E213" s="32" t="n">
        <x:f>SUMIFS($N$7:$N$76,$H$7:$H$76,"VENTE",$D$7:$D$76,"&lt;="&amp;B213,$F$7:$F$76,"&gt;"&amp;B213)+SUMIFS($N$7:$N$76,$H$7:$H$76,"VENTE",$D$7:$D$76,"&lt;="&amp;B213,$F$7:$F$76,0)</x:f>
        <x:v>0</x:v>
      </x:c>
      <x:c r="F213" s="32" t="n">
        <x:f>-SUMIFS($N$7:$N$76,$H$7:$H$76,"ACHAT",$D$7:$D$76,"&lt;="&amp;B213,$F$7:$F$76,"&gt;"&amp;B213)-SUMIFS($N$7:$N$76,$H$7:$H$76,"ACHAT",$D$7:$D$76,"&lt;="&amp;B213,$F$7:$F$76,0)</x:f>
        <x:v>0</x:v>
      </x:c>
      <x:c r="G213" s="32" t="n">
        <x:f>MAX(0,B213-'Pilotage'!$C$9+1)*'Pilotage'!$C$10</x:f>
        <x:v>170</x:v>
      </x:c>
      <x:c r="H213" s="32" t="str">
        <x:f>IF(ISNUMBER(C213),ROUND(SUM(C213:E213)-SUM(F213:G213),2),"n.d.")</x:f>
        <x:v>n.d.</x:v>
      </x:c>
      <x:c r="I213" s="32" t="n">
        <x:f>'Pilotage'!$C$8</x:f>
        <x:v>10000</x:v>
      </x:c>
      <x:c r="J213" s="34" t="str">
        <x:f>IF(AND(ISNUMBER(H213),I213&gt;0),H213/I213,"n.d.")</x:f>
        <x:v>n.d.</x:v>
      </x:c>
      <x:c r="K213" s="32" t="str">
        <x:f>IF(N213=1,SUMIFS('Dépositaire'!$Y$7:$Y$26,'Dépositaire'!$X$7:$X$26,B213),"n.d.")</x:f>
        <x:v>n.d.</x:v>
      </x:c>
      <x:c r="L213" s="32" t="str">
        <x:f>IF(AND(ISNUMBER(H213),ISNUMBER(K213)),H213-K213,"n.d.")</x:f>
        <x:v>n.d.</x:v>
      </x:c>
      <x:c r="M213" s="30" t="n">
        <x:f>COUNTIFS('Dépositaire'!$T$7:$T$26,B213)</x:f>
        <x:v>0</x:v>
      </x:c>
      <x:c r="N213" s="30" t="n">
        <x:f>COUNTIFS('Dépositaire'!$X$7:$X$26,B213)</x:f>
        <x:v>0</x:v>
      </x:c>
      <x:c r="O213" s="30"/>
      <x:c r="P213" s="30"/>
      <x:c r="Q213" s="30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31" t="n">
        <x:v>46296</x:v>
      </x:c>
      <x:c r="C214" s="32" t="str">
        <x:f>IF(COUNTIFS($B$91:$B$190,B214,$M$91:$M$190,"&lt;&gt;OK")+COUNTIFS($B$91:$B$190,B214,$L$91:$L$190,"&lt;&gt;OK")&gt;0,"n.d.",SUMIFS($I$91:$I$190,$B$91:$B$190,B214))</x:f>
        <x:v>n.d.</x:v>
      </x:c>
      <x:c r="D214" s="32" t="n">
        <x:f>'Pilotage'!$C$7+SUMIFS($N$7:$N$76,$D$7:$D$76,"&lt;="&amp;B214,$F$7:$F$76,"&gt;0",$F$7:$F$76,"&lt;="&amp;B214)+SUMIFS('Transactions'!$Q$7:$Q$26,'Transactions'!$P$7:$P$26,"&lt;="&amp;B214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214),SUMIFS('Anomalies'!$E$19:$E$23,'Anomalies'!$C$19:$C$23,"BANK-001",'Anomalies'!$D$19:$D$23,"FluxEUR",'Anomalies'!$F$19:$F$23,"OUI"),0)</x:f>
        <x:v>472584.79999999993</x:v>
      </x:c>
      <x:c r="E214" s="32" t="n">
        <x:f>SUMIFS($N$7:$N$76,$H$7:$H$76,"VENTE",$D$7:$D$76,"&lt;="&amp;B214,$F$7:$F$76,"&gt;"&amp;B214)+SUMIFS($N$7:$N$76,$H$7:$H$76,"VENTE",$D$7:$D$76,"&lt;="&amp;B214,$F$7:$F$76,0)</x:f>
        <x:v>0</x:v>
      </x:c>
      <x:c r="F214" s="32" t="n">
        <x:f>-SUMIFS($N$7:$N$76,$H$7:$H$76,"ACHAT",$D$7:$D$76,"&lt;="&amp;B214,$F$7:$F$76,"&gt;"&amp;B214)-SUMIFS($N$7:$N$76,$H$7:$H$76,"ACHAT",$D$7:$D$76,"&lt;="&amp;B214,$F$7:$F$76,0)</x:f>
        <x:v>0</x:v>
      </x:c>
      <x:c r="G214" s="32" t="n">
        <x:f>MAX(0,B214-'Pilotage'!$C$9+1)*'Pilotage'!$C$10</x:f>
        <x:v>180</x:v>
      </x:c>
      <x:c r="H214" s="32" t="str">
        <x:f>IF(ISNUMBER(C214),ROUND(SUM(C214:E214)-SUM(F214:G214),2),"n.d.")</x:f>
        <x:v>n.d.</x:v>
      </x:c>
      <x:c r="I214" s="32" t="n">
        <x:f>'Pilotage'!$C$8</x:f>
        <x:v>10000</x:v>
      </x:c>
      <x:c r="J214" s="34" t="str">
        <x:f>IF(AND(ISNUMBER(H214),I214&gt;0),H214/I214,"n.d.")</x:f>
        <x:v>n.d.</x:v>
      </x:c>
      <x:c r="K214" s="32" t="str">
        <x:f>IF(N214=1,SUMIFS('Dépositaire'!$Y$7:$Y$26,'Dépositaire'!$X$7:$X$26,B214),"n.d.")</x:f>
        <x:v>n.d.</x:v>
      </x:c>
      <x:c r="L214" s="32" t="str">
        <x:f>IF(AND(ISNUMBER(H214),ISNUMBER(K214)),H214-K214,"n.d.")</x:f>
        <x:v>n.d.</x:v>
      </x:c>
      <x:c r="M214" s="30" t="n">
        <x:f>COUNTIFS('Dépositaire'!$T$7:$T$26,B214)</x:f>
        <x:v>0</x:v>
      </x:c>
      <x:c r="N214" s="30" t="n">
        <x:f>COUNTIFS('Dépositaire'!$X$7:$X$26,B214)</x:f>
        <x:v>0</x:v>
      </x:c>
      <x:c r="O214" s="30"/>
      <x:c r="P214" s="30"/>
      <x:c r="Q214" s="30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31" t="n">
        <x:v>46297</x:v>
      </x:c>
      <x:c r="C215" s="32" t="str">
        <x:f>IF(COUNTIFS($B$91:$B$190,B215,$M$91:$M$190,"&lt;&gt;OK")+COUNTIFS($B$91:$B$190,B215,$L$91:$L$190,"&lt;&gt;OK")&gt;0,"n.d.",SUMIFS($I$91:$I$190,$B$91:$B$190,B215))</x:f>
        <x:v>n.d.</x:v>
      </x:c>
      <x:c r="D215" s="32" t="n">
        <x:f>'Pilotage'!$C$7+SUMIFS($N$7:$N$76,$D$7:$D$76,"&lt;="&amp;B215,$F$7:$F$76,"&gt;0",$F$7:$F$76,"&lt;="&amp;B215)+SUMIFS('Transactions'!$Q$7:$Q$26,'Transactions'!$P$7:$P$26,"&lt;="&amp;B215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215),SUMIFS('Anomalies'!$E$19:$E$23,'Anomalies'!$C$19:$C$23,"BANK-001",'Anomalies'!$D$19:$D$23,"FluxEUR",'Anomalies'!$F$19:$F$23,"OUI"),0)</x:f>
        <x:v>472584.79999999993</x:v>
      </x:c>
      <x:c r="E215" s="32" t="n">
        <x:f>SUMIFS($N$7:$N$76,$H$7:$H$76,"VENTE",$D$7:$D$76,"&lt;="&amp;B215,$F$7:$F$76,"&gt;"&amp;B215)+SUMIFS($N$7:$N$76,$H$7:$H$76,"VENTE",$D$7:$D$76,"&lt;="&amp;B215,$F$7:$F$76,0)</x:f>
        <x:v>0</x:v>
      </x:c>
      <x:c r="F215" s="32" t="n">
        <x:f>-SUMIFS($N$7:$N$76,$H$7:$H$76,"ACHAT",$D$7:$D$76,"&lt;="&amp;B215,$F$7:$F$76,"&gt;"&amp;B215)-SUMIFS($N$7:$N$76,$H$7:$H$76,"ACHAT",$D$7:$D$76,"&lt;="&amp;B215,$F$7:$F$76,0)</x:f>
        <x:v>0</x:v>
      </x:c>
      <x:c r="G215" s="32" t="n">
        <x:f>MAX(0,B215-'Pilotage'!$C$9+1)*'Pilotage'!$C$10</x:f>
        <x:v>190</x:v>
      </x:c>
      <x:c r="H215" s="32" t="str">
        <x:f>IF(ISNUMBER(C215),ROUND(SUM(C215:E215)-SUM(F215:G215),2),"n.d.")</x:f>
        <x:v>n.d.</x:v>
      </x:c>
      <x:c r="I215" s="32" t="n">
        <x:f>'Pilotage'!$C$8</x:f>
        <x:v>10000</x:v>
      </x:c>
      <x:c r="J215" s="34" t="str">
        <x:f>IF(AND(ISNUMBER(H215),I215&gt;0),H215/I215,"n.d.")</x:f>
        <x:v>n.d.</x:v>
      </x:c>
      <x:c r="K215" s="32" t="str">
        <x:f>IF(N215=1,SUMIFS('Dépositaire'!$Y$7:$Y$26,'Dépositaire'!$X$7:$X$26,B215),"n.d.")</x:f>
        <x:v>n.d.</x:v>
      </x:c>
      <x:c r="L215" s="32" t="str">
        <x:f>IF(AND(ISNUMBER(H215),ISNUMBER(K215)),H215-K215,"n.d.")</x:f>
        <x:v>n.d.</x:v>
      </x:c>
      <x:c r="M215" s="30" t="n">
        <x:f>COUNTIFS('Dépositaire'!$T$7:$T$26,B215)</x:f>
        <x:v>0</x:v>
      </x:c>
      <x:c r="N215" s="30" t="n">
        <x:f>COUNTIFS('Dépositaire'!$X$7:$X$26,B215)</x:f>
        <x:v>0</x:v>
      </x:c>
      <x:c r="O215" s="30"/>
      <x:c r="P215" s="30"/>
      <x:c r="Q215" s="30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31" t="n">
        <x:v>46300</x:v>
      </x:c>
      <x:c r="C216" s="32" t="str">
        <x:f>IF(COUNTIFS($B$91:$B$190,B216,$M$91:$M$190,"&lt;&gt;OK")+COUNTIFS($B$91:$B$190,B216,$L$91:$L$190,"&lt;&gt;OK")&gt;0,"n.d.",SUMIFS($I$91:$I$190,$B$91:$B$190,B216))</x:f>
        <x:v>n.d.</x:v>
      </x:c>
      <x:c r="D216" s="32" t="n">
        <x:f>'Pilotage'!$C$7+SUMIFS($N$7:$N$76,$D$7:$D$76,"&lt;="&amp;B216,$F$7:$F$76,"&gt;0",$F$7:$F$76,"&lt;="&amp;B216)+SUMIFS('Transactions'!$Q$7:$Q$26,'Transactions'!$P$7:$P$26,"&lt;="&amp;B216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216),SUMIFS('Anomalies'!$E$19:$E$23,'Anomalies'!$C$19:$C$23,"BANK-001",'Anomalies'!$D$19:$D$23,"FluxEUR",'Anomalies'!$F$19:$F$23,"OUI"),0)</x:f>
        <x:v>472584.79999999993</x:v>
      </x:c>
      <x:c r="E216" s="32" t="n">
        <x:f>SUMIFS($N$7:$N$76,$H$7:$H$76,"VENTE",$D$7:$D$76,"&lt;="&amp;B216,$F$7:$F$76,"&gt;"&amp;B216)+SUMIFS($N$7:$N$76,$H$7:$H$76,"VENTE",$D$7:$D$76,"&lt;="&amp;B216,$F$7:$F$76,0)</x:f>
        <x:v>0</x:v>
      </x:c>
      <x:c r="F216" s="32" t="n">
        <x:f>-SUMIFS($N$7:$N$76,$H$7:$H$76,"ACHAT",$D$7:$D$76,"&lt;="&amp;B216,$F$7:$F$76,"&gt;"&amp;B216)-SUMIFS($N$7:$N$76,$H$7:$H$76,"ACHAT",$D$7:$D$76,"&lt;="&amp;B216,$F$7:$F$76,0)</x:f>
        <x:v>0</x:v>
      </x:c>
      <x:c r="G216" s="32" t="n">
        <x:f>MAX(0,B216-'Pilotage'!$C$9+1)*'Pilotage'!$C$10</x:f>
        <x:v>220</x:v>
      </x:c>
      <x:c r="H216" s="32" t="str">
        <x:f>IF(ISNUMBER(C216),ROUND(SUM(C216:E216)-SUM(F216:G216),2),"n.d.")</x:f>
        <x:v>n.d.</x:v>
      </x:c>
      <x:c r="I216" s="32" t="n">
        <x:f>'Pilotage'!$C$8</x:f>
        <x:v>10000</x:v>
      </x:c>
      <x:c r="J216" s="34" t="str">
        <x:f>IF(AND(ISNUMBER(H216),I216&gt;0),H216/I216,"n.d.")</x:f>
        <x:v>n.d.</x:v>
      </x:c>
      <x:c r="K216" s="32" t="str">
        <x:f>IF(N216=1,SUMIFS('Dépositaire'!$Y$7:$Y$26,'Dépositaire'!$X$7:$X$26,B216),"n.d.")</x:f>
        <x:v>n.d.</x:v>
      </x:c>
      <x:c r="L216" s="32" t="str">
        <x:f>IF(AND(ISNUMBER(H216),ISNUMBER(K216)),H216-K216,"n.d.")</x:f>
        <x:v>n.d.</x:v>
      </x:c>
      <x:c r="M216" s="30" t="n">
        <x:f>COUNTIFS('Dépositaire'!$T$7:$T$26,B216)</x:f>
        <x:v>0</x:v>
      </x:c>
      <x:c r="N216" s="30" t="n">
        <x:f>COUNTIFS('Dépositaire'!$X$7:$X$26,B216)</x:f>
        <x:v>0</x:v>
      </x:c>
      <x:c r="O216" s="30"/>
      <x:c r="P216" s="30"/>
      <x:c r="Q216" s="30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31" t="n">
        <x:v>46301</x:v>
      </x:c>
      <x:c r="C217" s="32" t="str">
        <x:f>IF(COUNTIFS($B$91:$B$190,B217,$M$91:$M$190,"&lt;&gt;OK")+COUNTIFS($B$91:$B$190,B217,$L$91:$L$190,"&lt;&gt;OK")&gt;0,"n.d.",SUMIFS($I$91:$I$190,$B$91:$B$190,B217))</x:f>
        <x:v>n.d.</x:v>
      </x:c>
      <x:c r="D217" s="32" t="n">
        <x:f>'Pilotage'!$C$7+SUMIFS($N$7:$N$76,$D$7:$D$76,"&lt;="&amp;B217,$F$7:$F$76,"&gt;0",$F$7:$F$76,"&lt;="&amp;B217)+SUMIFS('Transactions'!$Q$7:$Q$26,'Transactions'!$P$7:$P$26,"&lt;="&amp;B217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217),SUMIFS('Anomalies'!$E$19:$E$23,'Anomalies'!$C$19:$C$23,"BANK-001",'Anomalies'!$D$19:$D$23,"FluxEUR",'Anomalies'!$F$19:$F$23,"OUI"),0)</x:f>
        <x:v>472584.79999999993</x:v>
      </x:c>
      <x:c r="E217" s="32" t="n">
        <x:f>SUMIFS($N$7:$N$76,$H$7:$H$76,"VENTE",$D$7:$D$76,"&lt;="&amp;B217,$F$7:$F$76,"&gt;"&amp;B217)+SUMIFS($N$7:$N$76,$H$7:$H$76,"VENTE",$D$7:$D$76,"&lt;="&amp;B217,$F$7:$F$76,0)</x:f>
        <x:v>0</x:v>
      </x:c>
      <x:c r="F217" s="32" t="n">
        <x:f>-SUMIFS($N$7:$N$76,$H$7:$H$76,"ACHAT",$D$7:$D$76,"&lt;="&amp;B217,$F$7:$F$76,"&gt;"&amp;B217)-SUMIFS($N$7:$N$76,$H$7:$H$76,"ACHAT",$D$7:$D$76,"&lt;="&amp;B217,$F$7:$F$76,0)</x:f>
        <x:v>0</x:v>
      </x:c>
      <x:c r="G217" s="32" t="n">
        <x:f>MAX(0,B217-'Pilotage'!$C$9+1)*'Pilotage'!$C$10</x:f>
        <x:v>230</x:v>
      </x:c>
      <x:c r="H217" s="32" t="str">
        <x:f>IF(ISNUMBER(C217),ROUND(SUM(C217:E217)-SUM(F217:G217),2),"n.d.")</x:f>
        <x:v>n.d.</x:v>
      </x:c>
      <x:c r="I217" s="32" t="n">
        <x:f>'Pilotage'!$C$8</x:f>
        <x:v>10000</x:v>
      </x:c>
      <x:c r="J217" s="34" t="str">
        <x:f>IF(AND(ISNUMBER(H217),I217&gt;0),H217/I217,"n.d.")</x:f>
        <x:v>n.d.</x:v>
      </x:c>
      <x:c r="K217" s="32" t="str">
        <x:f>IF(N217=1,SUMIFS('Dépositaire'!$Y$7:$Y$26,'Dépositaire'!$X$7:$X$26,B217),"n.d.")</x:f>
        <x:v>n.d.</x:v>
      </x:c>
      <x:c r="L217" s="32" t="str">
        <x:f>IF(AND(ISNUMBER(H217),ISNUMBER(K217)),H217-K217,"n.d.")</x:f>
        <x:v>n.d.</x:v>
      </x:c>
      <x:c r="M217" s="30" t="n">
        <x:f>COUNTIFS('Dépositaire'!$T$7:$T$26,B217)</x:f>
        <x:v>0</x:v>
      </x:c>
      <x:c r="N217" s="30" t="n">
        <x:f>COUNTIFS('Dépositaire'!$X$7:$X$26,B217)</x:f>
        <x:v>0</x:v>
      </x:c>
      <x:c r="O217" s="30"/>
      <x:c r="P217" s="30"/>
      <x:c r="Q217" s="30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31" t="n">
        <x:v>46302</x:v>
      </x:c>
      <x:c r="C218" s="32" t="str">
        <x:f>IF(COUNTIFS($B$91:$B$190,B218,$M$91:$M$190,"&lt;&gt;OK")+COUNTIFS($B$91:$B$190,B218,$L$91:$L$190,"&lt;&gt;OK")&gt;0,"n.d.",SUMIFS($I$91:$I$190,$B$91:$B$190,B218))</x:f>
        <x:v>n.d.</x:v>
      </x:c>
      <x:c r="D218" s="32" t="n">
        <x:f>'Pilotage'!$C$7+SUMIFS($N$7:$N$76,$D$7:$D$76,"&lt;="&amp;B218,$F$7:$F$76,"&gt;0",$F$7:$F$76,"&lt;="&amp;B218)+SUMIFS('Transactions'!$Q$7:$Q$26,'Transactions'!$P$7:$P$26,"&lt;="&amp;B218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218),SUMIFS('Anomalies'!$E$19:$E$23,'Anomalies'!$C$19:$C$23,"BANK-001",'Anomalies'!$D$19:$D$23,"FluxEUR",'Anomalies'!$F$19:$F$23,"OUI"),0)</x:f>
        <x:v>472584.79999999993</x:v>
      </x:c>
      <x:c r="E218" s="32" t="n">
        <x:f>SUMIFS($N$7:$N$76,$H$7:$H$76,"VENTE",$D$7:$D$76,"&lt;="&amp;B218,$F$7:$F$76,"&gt;"&amp;B218)+SUMIFS($N$7:$N$76,$H$7:$H$76,"VENTE",$D$7:$D$76,"&lt;="&amp;B218,$F$7:$F$76,0)</x:f>
        <x:v>0</x:v>
      </x:c>
      <x:c r="F218" s="32" t="n">
        <x:f>-SUMIFS($N$7:$N$76,$H$7:$H$76,"ACHAT",$D$7:$D$76,"&lt;="&amp;B218,$F$7:$F$76,"&gt;"&amp;B218)-SUMIFS($N$7:$N$76,$H$7:$H$76,"ACHAT",$D$7:$D$76,"&lt;="&amp;B218,$F$7:$F$76,0)</x:f>
        <x:v>0</x:v>
      </x:c>
      <x:c r="G218" s="32" t="n">
        <x:f>MAX(0,B218-'Pilotage'!$C$9+1)*'Pilotage'!$C$10</x:f>
        <x:v>240</x:v>
      </x:c>
      <x:c r="H218" s="32" t="str">
        <x:f>IF(ISNUMBER(C218),ROUND(SUM(C218:E218)-SUM(F218:G218),2),"n.d.")</x:f>
        <x:v>n.d.</x:v>
      </x:c>
      <x:c r="I218" s="32" t="n">
        <x:f>'Pilotage'!$C$8</x:f>
        <x:v>10000</x:v>
      </x:c>
      <x:c r="J218" s="34" t="str">
        <x:f>IF(AND(ISNUMBER(H218),I218&gt;0),H218/I218,"n.d.")</x:f>
        <x:v>n.d.</x:v>
      </x:c>
      <x:c r="K218" s="32" t="str">
        <x:f>IF(N218=1,SUMIFS('Dépositaire'!$Y$7:$Y$26,'Dépositaire'!$X$7:$X$26,B218),"n.d.")</x:f>
        <x:v>n.d.</x:v>
      </x:c>
      <x:c r="L218" s="32" t="str">
        <x:f>IF(AND(ISNUMBER(H218),ISNUMBER(K218)),H218-K218,"n.d.")</x:f>
        <x:v>n.d.</x:v>
      </x:c>
      <x:c r="M218" s="30" t="n">
        <x:f>COUNTIFS('Dépositaire'!$T$7:$T$26,B218)</x:f>
        <x:v>0</x:v>
      </x:c>
      <x:c r="N218" s="30" t="n">
        <x:f>COUNTIFS('Dépositaire'!$X$7:$X$26,B218)</x:f>
        <x:v>0</x:v>
      </x:c>
      <x:c r="O218" s="30"/>
      <x:c r="P218" s="30"/>
      <x:c r="Q218" s="30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31" t="n">
        <x:v>46303</x:v>
      </x:c>
      <x:c r="C219" s="32" t="str">
        <x:f>IF(COUNTIFS($B$91:$B$190,B219,$M$91:$M$190,"&lt;&gt;OK")+COUNTIFS($B$91:$B$190,B219,$L$91:$L$190,"&lt;&gt;OK")&gt;0,"n.d.",SUMIFS($I$91:$I$190,$B$91:$B$190,B219))</x:f>
        <x:v>n.d.</x:v>
      </x:c>
      <x:c r="D219" s="32" t="n">
        <x:f>'Pilotage'!$C$7+SUMIFS($N$7:$N$76,$D$7:$D$76,"&lt;="&amp;B219,$F$7:$F$76,"&gt;0",$F$7:$F$76,"&lt;="&amp;B219)+SUMIFS('Transactions'!$Q$7:$Q$26,'Transactions'!$P$7:$P$26,"&lt;="&amp;B219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219),SUMIFS('Anomalies'!$E$19:$E$23,'Anomalies'!$C$19:$C$23,"BANK-001",'Anomalies'!$D$19:$D$23,"FluxEUR",'Anomalies'!$F$19:$F$23,"OUI"),0)</x:f>
        <x:v>472584.79999999993</x:v>
      </x:c>
      <x:c r="E219" s="32" t="n">
        <x:f>SUMIFS($N$7:$N$76,$H$7:$H$76,"VENTE",$D$7:$D$76,"&lt;="&amp;B219,$F$7:$F$76,"&gt;"&amp;B219)+SUMIFS($N$7:$N$76,$H$7:$H$76,"VENTE",$D$7:$D$76,"&lt;="&amp;B219,$F$7:$F$76,0)</x:f>
        <x:v>0</x:v>
      </x:c>
      <x:c r="F219" s="32" t="n">
        <x:f>-SUMIFS($N$7:$N$76,$H$7:$H$76,"ACHAT",$D$7:$D$76,"&lt;="&amp;B219,$F$7:$F$76,"&gt;"&amp;B219)-SUMIFS($N$7:$N$76,$H$7:$H$76,"ACHAT",$D$7:$D$76,"&lt;="&amp;B219,$F$7:$F$76,0)</x:f>
        <x:v>0</x:v>
      </x:c>
      <x:c r="G219" s="32" t="n">
        <x:f>MAX(0,B219-'Pilotage'!$C$9+1)*'Pilotage'!$C$10</x:f>
        <x:v>250</x:v>
      </x:c>
      <x:c r="H219" s="32" t="str">
        <x:f>IF(ISNUMBER(C219),ROUND(SUM(C219:E219)-SUM(F219:G219),2),"n.d.")</x:f>
        <x:v>n.d.</x:v>
      </x:c>
      <x:c r="I219" s="32" t="n">
        <x:f>'Pilotage'!$C$8</x:f>
        <x:v>10000</x:v>
      </x:c>
      <x:c r="J219" s="34" t="str">
        <x:f>IF(AND(ISNUMBER(H219),I219&gt;0),H219/I219,"n.d.")</x:f>
        <x:v>n.d.</x:v>
      </x:c>
      <x:c r="K219" s="32" t="str">
        <x:f>IF(N219=1,SUMIFS('Dépositaire'!$Y$7:$Y$26,'Dépositaire'!$X$7:$X$26,B219),"n.d.")</x:f>
        <x:v>n.d.</x:v>
      </x:c>
      <x:c r="L219" s="32" t="str">
        <x:f>IF(AND(ISNUMBER(H219),ISNUMBER(K219)),H219-K219,"n.d.")</x:f>
        <x:v>n.d.</x:v>
      </x:c>
      <x:c r="M219" s="30" t="n">
        <x:f>COUNTIFS('Dépositaire'!$T$7:$T$26,B219)</x:f>
        <x:v>0</x:v>
      </x:c>
      <x:c r="N219" s="30" t="n">
        <x:f>COUNTIFS('Dépositaire'!$X$7:$X$26,B219)</x:f>
        <x:v>0</x:v>
      </x:c>
      <x:c r="O219" s="30"/>
      <x:c r="P219" s="30"/>
      <x:c r="Q219" s="30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31" t="n">
        <x:v>46304</x:v>
      </x:c>
      <x:c r="C220" s="32" t="str">
        <x:f>IF(COUNTIFS($B$91:$B$190,B220,$M$91:$M$190,"&lt;&gt;OK")+COUNTIFS($B$91:$B$190,B220,$L$91:$L$190,"&lt;&gt;OK")&gt;0,"n.d.",SUMIFS($I$91:$I$190,$B$91:$B$190,B220))</x:f>
        <x:v>n.d.</x:v>
      </x:c>
      <x:c r="D220" s="32" t="n">
        <x:f>'Pilotage'!$C$7+SUMIFS($N$7:$N$76,$D$7:$D$76,"&lt;="&amp;B220,$F$7:$F$76,"&gt;0",$F$7:$F$76,"&lt;="&amp;B220)+SUMIFS('Transactions'!$Q$7:$Q$26,'Transactions'!$P$7:$P$26,"&lt;="&amp;B220,'Transactions'!$P$7:$P$26,"&gt;0")+IF(AND(COUNTIFS('Anomalies'!$C$19:$C$23,"BANK-001",'Anomalies'!$D$19:$D$23,"FluxEUR",'Anomalies'!$F$19:$F$23,"OUI")=1,COUNTIFS('Transactions'!$O$7:$O$26,"BANK-001")=0,SUMIFS('Anomalies'!$H$19:$H$23,'Anomalies'!$C$19:$C$23,"BANK-001",'Anomalies'!$D$19:$D$23,"FluxEUR",'Anomalies'!$F$19:$F$23,"OUI")&lt;=B220),SUMIFS('Anomalies'!$E$19:$E$23,'Anomalies'!$C$19:$C$23,"BANK-001",'Anomalies'!$D$19:$D$23,"FluxEUR",'Anomalies'!$F$19:$F$23,"OUI"),0)</x:f>
        <x:v>472584.79999999993</x:v>
      </x:c>
      <x:c r="E220" s="32" t="n">
        <x:f>SUMIFS($N$7:$N$76,$H$7:$H$76,"VENTE",$D$7:$D$76,"&lt;="&amp;B220,$F$7:$F$76,"&gt;"&amp;B220)+SUMIFS($N$7:$N$76,$H$7:$H$76,"VENTE",$D$7:$D$76,"&lt;="&amp;B220,$F$7:$F$76,0)</x:f>
        <x:v>0</x:v>
      </x:c>
      <x:c r="F220" s="32" t="n">
        <x:f>-SUMIFS($N$7:$N$76,$H$7:$H$76,"ACHAT",$D$7:$D$76,"&lt;="&amp;B220,$F$7:$F$76,"&gt;"&amp;B220)-SUMIFS($N$7:$N$76,$H$7:$H$76,"ACHAT",$D$7:$D$76,"&lt;="&amp;B220,$F$7:$F$76,0)</x:f>
        <x:v>0</x:v>
      </x:c>
      <x:c r="G220" s="32" t="n">
        <x:f>MAX(0,B220-'Pilotage'!$C$9+1)*'Pilotage'!$C$10</x:f>
        <x:v>260</x:v>
      </x:c>
      <x:c r="H220" s="32" t="str">
        <x:f>IF(ISNUMBER(C220),ROUND(SUM(C220:E220)-SUM(F220:G220),2),"n.d.")</x:f>
        <x:v>n.d.</x:v>
      </x:c>
      <x:c r="I220" s="32" t="n">
        <x:f>'Pilotage'!$C$8</x:f>
        <x:v>10000</x:v>
      </x:c>
      <x:c r="J220" s="34" t="str">
        <x:f>IF(AND(ISNUMBER(H220),I220&gt;0),H220/I220,"n.d.")</x:f>
        <x:v>n.d.</x:v>
      </x:c>
      <x:c r="K220" s="32" t="str">
        <x:f>IF(N220=1,SUMIFS('Dépositaire'!$Y$7:$Y$26,'Dépositaire'!$X$7:$X$26,B220),"n.d.")</x:f>
        <x:v>n.d.</x:v>
      </x:c>
      <x:c r="L220" s="32" t="str">
        <x:f>IF(AND(ISNUMBER(H220),ISNUMBER(K220)),H220-K220,"n.d.")</x:f>
        <x:v>n.d.</x:v>
      </x:c>
      <x:c r="M220" s="30" t="n">
        <x:f>COUNTIFS('Dépositaire'!$T$7:$T$26,B220)</x:f>
        <x:v>0</x:v>
      </x:c>
      <x:c r="N220" s="30" t="n">
        <x:f>COUNTIFS('Dépositaire'!$X$7:$X$26,B220)</x:f>
        <x:v>0</x:v>
      </x:c>
      <x:c r="O220" s="30"/>
      <x:c r="P220" s="30"/>
      <x:c r="Q220" s="30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conditionalFormatting sqref="B91:N190">
    <x:cfRule type="expression" dxfId="4" priority="1">
      <x:formula>AND($B91&lt;='Pilotage'!$C$6,$M91&lt;&gt;"OK")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Rapprochements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TradeID</x:v>
      </x:c>
      <x:c r="C6" s="8" t="str">
        <x:v>Date négociation</x:v>
      </x:c>
      <x:c r="D6" s="8" t="str">
        <x:v>ISIN</x:v>
      </x:c>
      <x:c r="E6" s="8" t="str">
        <x:v>Date prévue</x:v>
      </x:c>
      <x:c r="F6" s="8" t="str">
        <x:v>Date effective dépôt</x:v>
      </x:c>
      <x:c r="G6" s="8" t="str">
        <x:v>Occurrences internes</x:v>
      </x:c>
      <x:c r="H6" s="8" t="str">
        <x:v>Quantité dépôt</x:v>
      </x:c>
      <x:c r="I6" s="8" t="str">
        <x:v>Quantité interne</x:v>
      </x:c>
      <x:c r="J6" s="8" t="str">
        <x:v>Écart quantité</x:v>
      </x:c>
      <x:c r="K6" s="8" t="str">
        <x:v>Écart flux EUR</x:v>
      </x:c>
      <x:c r="L6" s="8" t="str">
        <x:v>Retard actif</x:v>
      </x:c>
      <x:c r="M6" s="8" t="str">
        <x:v>Contrôle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0" customHeight="1">
      <x:c r="A7" s="2"/>
      <x:c r="B7" s="30" t="str">
        <x:f>IF('Dépositaire'!C7="","",'Dépositaire'!C7)</x:f>
        <x:v>TR-001</x:v>
      </x:c>
      <x:c r="C7" s="36" t="n">
        <x:f>IF(B7="","",'Dépositaire'!D7)</x:f>
        <x:v>46279</x:v>
      </x:c>
      <x:c r="D7" s="30" t="str">
        <x:f>IF(B7="","",'Dépositaire'!G7)</x:f>
        <x:v>FR0000120073</x:v>
      </x:c>
      <x:c r="E7" s="36" t="n">
        <x:f>IF(B7="","",'Dépositaire'!E7)</x:f>
        <x:v>46281</x:v>
      </x:c>
      <x:c r="F7" s="36" t="n">
        <x:f>IF(B7="","",'Dépositaire'!F7)</x:f>
        <x:v>46281</x:v>
      </x:c>
      <x:c r="G7" s="30" t="n">
        <x:f>IF(B7="","",COUNTIFS('Calculs'!$C$7:$C$76,B7,'Calculs'!$L$7:$L$76,1))</x:f>
        <x:v>1</x:v>
      </x:c>
      <x:c r="H7" s="30" t="n">
        <x:f>IF(B7="","",'Dépositaire'!I7)</x:f>
        <x:v>600</x:v>
      </x:c>
      <x:c r="I7" s="30" t="n">
        <x:f>IF(B7="","",SUMIFS('Calculs'!$I$7:$I$76,'Calculs'!$C$7:$C$76,B7,'Calculs'!$L$7:$L$76,1))</x:f>
        <x:v>600</x:v>
      </x:c>
      <x:c r="J7" s="30" t="n">
        <x:f>IF(B7="","",I7-H7)</x:f>
        <x:v>0</x:v>
      </x:c>
      <x:c r="K7" s="32" t="n">
        <x:f>IF(B7="","",SUMIFS('Calculs'!$N$7:$N$76,'Calculs'!$C$7:$C$76,B7)-IF('Dépositaire'!H7="ACHAT",-'Dépositaire'!I7*'Dépositaire'!J7-'Dépositaire'!K7,'Dépositaire'!I7*'Dépositaire'!J7-'Dépositaire'!K7))</x:f>
        <x:v>1.4551915228366852e-11</x:v>
      </x:c>
      <x:c r="L7" s="30" t="n">
        <x:f>IF(B7="",0,IF(AND(C7&lt;='Pilotage'!$C$6,E7&lt;='Pilotage'!$C$6,OR(F7=0,F7&gt;'Pilotage'!$C$6)),1,0))</x:f>
        <x:v>0</x:v>
      </x:c>
      <x:c r="M7" s="37" t="str">
        <x:f>IF(OR(B7="",C7&gt;'Pilotage'!$C$6),"",IF(G7=0,"Opération absente",IF(G7&gt;1,"Doublon",IF(COUNTIFS('Calculs'!$C$7:$C$76,B7,'Calculs'!$G$7:$G$76,D7,'Calculs'!$H$7:$H$76,'Dépositaire'!H7,'Calculs'!$L$7:$L$76,1)&lt;&gt;1,"Référence incorrecte",IF(J7&lt;&gt;0,"Quantité incorrecte",IF(ABS(K7)&gt;'Pilotage'!$C$11,"Montant incorrect",IF(SUMIFS('Calculs'!$E$7:$E$76,'Calculs'!$C$7:$C$76,B7,'Calculs'!$L$7:$L$76,1)&lt;&gt;E7,"Date prévue incorrecte",IF(L7=1,"Règlement en retard","OK"))))))))</x:f>
        <x:v>OK</x:v>
      </x:c>
      <x:c r="N7" s="30"/>
      <x:c r="O7" s="30"/>
      <x:c r="P7" s="30"/>
      <x:c r="Q7" s="30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0" customHeight="1">
      <x:c r="A8" s="2"/>
      <x:c r="B8" s="30" t="str">
        <x:f>IF('Dépositaire'!C8="","",'Dépositaire'!C8)</x:f>
        <x:v>TR-002</x:v>
      </x:c>
      <x:c r="C8" s="36" t="n">
        <x:f>IF(B8="","",'Dépositaire'!D8)</x:f>
        <x:v>46279</x:v>
      </x:c>
      <x:c r="D8" s="30" t="str">
        <x:f>IF(B8="","",'Dépositaire'!G8)</x:f>
        <x:v>FR0000121972</x:v>
      </x:c>
      <x:c r="E8" s="36" t="n">
        <x:f>IF(B8="","",'Dépositaire'!E8)</x:f>
        <x:v>46281</x:v>
      </x:c>
      <x:c r="F8" s="36" t="n">
        <x:f>IF(B8="","",'Dépositaire'!F8)</x:f>
        <x:v>46281</x:v>
      </x:c>
      <x:c r="G8" s="30" t="n">
        <x:f>IF(B8="","",COUNTIFS('Calculs'!$C$7:$C$76,B8,'Calculs'!$L$7:$L$76,1))</x:f>
        <x:v>1</x:v>
      </x:c>
      <x:c r="H8" s="30" t="n">
        <x:f>IF(B8="","",'Dépositaire'!I8)</x:f>
        <x:v>400</x:v>
      </x:c>
      <x:c r="I8" s="30" t="n">
        <x:f>IF(B8="","",SUMIFS('Calculs'!$I$7:$I$76,'Calculs'!$C$7:$C$76,B8,'Calculs'!$L$7:$L$76,1))</x:f>
        <x:v>400</x:v>
      </x:c>
      <x:c r="J8" s="30" t="n">
        <x:f>IF(B8="","",I8-H8)</x:f>
        <x:v>0</x:v>
      </x:c>
      <x:c r="K8" s="32" t="n">
        <x:f>IF(B8="","",SUMIFS('Calculs'!$N$7:$N$76,'Calculs'!$C$7:$C$76,B8)-IF('Dépositaire'!H8="ACHAT",-'Dépositaire'!I8*'Dépositaire'!J8-'Dépositaire'!K8,'Dépositaire'!I8*'Dépositaire'!J8-'Dépositaire'!K8))</x:f>
        <x:v>0</x:v>
      </x:c>
      <x:c r="L8" s="30" t="n">
        <x:f>IF(B8="",0,IF(AND(C8&lt;='Pilotage'!$C$6,E8&lt;='Pilotage'!$C$6,OR(F8=0,F8&gt;'Pilotage'!$C$6)),1,0))</x:f>
        <x:v>0</x:v>
      </x:c>
      <x:c r="M8" s="37" t="str">
        <x:f>IF(OR(B8="",C8&gt;'Pilotage'!$C$6),"",IF(G8=0,"Opération absente",IF(G8&gt;1,"Doublon",IF(COUNTIFS('Calculs'!$C$7:$C$76,B8,'Calculs'!$G$7:$G$76,D8,'Calculs'!$H$7:$H$76,'Dépositaire'!H8,'Calculs'!$L$7:$L$76,1)&lt;&gt;1,"Référence incorrecte",IF(J8&lt;&gt;0,"Quantité incorrecte",IF(ABS(K8)&gt;'Pilotage'!$C$11,"Montant incorrect",IF(SUMIFS('Calculs'!$E$7:$E$76,'Calculs'!$C$7:$C$76,B8,'Calculs'!$L$7:$L$76,1)&lt;&gt;E8,"Date prévue incorrecte",IF(L8=1,"Règlement en retard","OK"))))))))</x:f>
        <x:v>OK</x:v>
      </x:c>
      <x:c r="N8" s="30"/>
      <x:c r="O8" s="30"/>
      <x:c r="P8" s="30"/>
      <x:c r="Q8" s="30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0" customHeight="1">
      <x:c r="A9" s="2"/>
      <x:c r="B9" s="30" t="str">
        <x:f>IF('Dépositaire'!C9="","",'Dépositaire'!C9)</x:f>
        <x:v>TR-003</x:v>
      </x:c>
      <x:c r="C9" s="36" t="n">
        <x:f>IF(B9="","",'Dépositaire'!D9)</x:f>
        <x:v>46279</x:v>
      </x:c>
      <x:c r="D9" s="30" t="str">
        <x:f>IF(B9="","",'Dépositaire'!G9)</x:f>
        <x:v>FR0000120644</x:v>
      </x:c>
      <x:c r="E9" s="36" t="n">
        <x:f>IF(B9="","",'Dépositaire'!E9)</x:f>
        <x:v>46281</x:v>
      </x:c>
      <x:c r="F9" s="36" t="n">
        <x:f>IF(B9="","",'Dépositaire'!F9)</x:f>
        <x:v>46281</x:v>
      </x:c>
      <x:c r="G9" s="30" t="n">
        <x:f>IF(B9="","",COUNTIFS('Calculs'!$C$7:$C$76,B9,'Calculs'!$L$7:$L$76,1))</x:f>
        <x:v>1</x:v>
      </x:c>
      <x:c r="H9" s="30" t="n">
        <x:f>IF(B9="","",'Dépositaire'!I9)</x:f>
        <x:v>1800</x:v>
      </x:c>
      <x:c r="I9" s="30" t="n">
        <x:f>IF(B9="","",SUMIFS('Calculs'!$I$7:$I$76,'Calculs'!$C$7:$C$76,B9,'Calculs'!$L$7:$L$76,1))</x:f>
        <x:v>1800</x:v>
      </x:c>
      <x:c r="J9" s="30" t="n">
        <x:f>IF(B9="","",I9-H9)</x:f>
        <x:v>0</x:v>
      </x:c>
      <x:c r="K9" s="32" t="n">
        <x:f>IF(B9="","",SUMIFS('Calculs'!$N$7:$N$76,'Calculs'!$C$7:$C$76,B9)-IF('Dépositaire'!H9="ACHAT",-'Dépositaire'!I9*'Dépositaire'!J9-'Dépositaire'!K9,'Dépositaire'!I9*'Dépositaire'!J9-'Dépositaire'!K9))</x:f>
        <x:v>0</x:v>
      </x:c>
      <x:c r="L9" s="30" t="n">
        <x:f>IF(B9="",0,IF(AND(C9&lt;='Pilotage'!$C$6,E9&lt;='Pilotage'!$C$6,OR(F9=0,F9&gt;'Pilotage'!$C$6)),1,0))</x:f>
        <x:v>0</x:v>
      </x:c>
      <x:c r="M9" s="37" t="str">
        <x:f>IF(OR(B9="",C9&gt;'Pilotage'!$C$6),"",IF(G9=0,"Opération absente",IF(G9&gt;1,"Doublon",IF(COUNTIFS('Calculs'!$C$7:$C$76,B9,'Calculs'!$G$7:$G$76,D9,'Calculs'!$H$7:$H$76,'Dépositaire'!H9,'Calculs'!$L$7:$L$76,1)&lt;&gt;1,"Référence incorrecte",IF(J9&lt;&gt;0,"Quantité incorrecte",IF(ABS(K9)&gt;'Pilotage'!$C$11,"Montant incorrect",IF(SUMIFS('Calculs'!$E$7:$E$76,'Calculs'!$C$7:$C$76,B9,'Calculs'!$L$7:$L$76,1)&lt;&gt;E9,"Date prévue incorrecte",IF(L9=1,"Règlement en retard","OK"))))))))</x:f>
        <x:v>OK</x:v>
      </x:c>
      <x:c r="N9" s="30"/>
      <x:c r="O9" s="30"/>
      <x:c r="P9" s="30"/>
      <x:c r="Q9" s="30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0" customHeight="1">
      <x:c r="A10" s="2"/>
      <x:c r="B10" s="30" t="str">
        <x:f>IF('Dépositaire'!C10="","",'Dépositaire'!C10)</x:f>
        <x:v>TR-004</x:v>
      </x:c>
      <x:c r="C10" s="36" t="n">
        <x:f>IF(B10="","",'Dépositaire'!D10)</x:f>
        <x:v>46279</x:v>
      </x:c>
      <x:c r="D10" s="30" t="str">
        <x:f>IF(B10="","",'Dépositaire'!G10)</x:f>
        <x:v>FR0000125486</x:v>
      </x:c>
      <x:c r="E10" s="36" t="n">
        <x:f>IF(B10="","",'Dépositaire'!E10)</x:f>
        <x:v>46281</x:v>
      </x:c>
      <x:c r="F10" s="36" t="n">
        <x:f>IF(B10="","",'Dépositaire'!F10)</x:f>
        <x:v>46281</x:v>
      </x:c>
      <x:c r="G10" s="30" t="n">
        <x:f>IF(B10="","",COUNTIFS('Calculs'!$C$7:$C$76,B10,'Calculs'!$L$7:$L$76,1))</x:f>
        <x:v>1</x:v>
      </x:c>
      <x:c r="H10" s="30" t="n">
        <x:f>IF(B10="","",'Dépositaire'!I10)</x:f>
        <x:v>900</x:v>
      </x:c>
      <x:c r="I10" s="30" t="n">
        <x:f>IF(B10="","",SUMIFS('Calculs'!$I$7:$I$76,'Calculs'!$C$7:$C$76,B10,'Calculs'!$L$7:$L$76,1))</x:f>
        <x:v>900</x:v>
      </x:c>
      <x:c r="J10" s="30" t="n">
        <x:f>IF(B10="","",I10-H10)</x:f>
        <x:v>0</x:v>
      </x:c>
      <x:c r="K10" s="32" t="n">
        <x:f>IF(B10="","",SUMIFS('Calculs'!$N$7:$N$76,'Calculs'!$C$7:$C$76,B10)-IF('Dépositaire'!H10="ACHAT",-'Dépositaire'!I10*'Dépositaire'!J10-'Dépositaire'!K10,'Dépositaire'!I10*'Dépositaire'!J10-'Dépositaire'!K10))</x:f>
        <x:v>0</x:v>
      </x:c>
      <x:c r="L10" s="30" t="n">
        <x:f>IF(B10="",0,IF(AND(C10&lt;='Pilotage'!$C$6,E10&lt;='Pilotage'!$C$6,OR(F10=0,F10&gt;'Pilotage'!$C$6)),1,0))</x:f>
        <x:v>0</x:v>
      </x:c>
      <x:c r="M10" s="37" t="str">
        <x:f>IF(OR(B10="",C10&gt;'Pilotage'!$C$6),"",IF(G10=0,"Opération absente",IF(G10&gt;1,"Doublon",IF(COUNTIFS('Calculs'!$C$7:$C$76,B10,'Calculs'!$G$7:$G$76,D10,'Calculs'!$H$7:$H$76,'Dépositaire'!H10,'Calculs'!$L$7:$L$76,1)&lt;&gt;1,"Référence incorrecte",IF(J10&lt;&gt;0,"Quantité incorrecte",IF(ABS(K10)&gt;'Pilotage'!$C$11,"Montant incorrect",IF(SUMIFS('Calculs'!$E$7:$E$76,'Calculs'!$C$7:$C$76,B10,'Calculs'!$L$7:$L$76,1)&lt;&gt;E10,"Date prévue incorrecte",IF(L10=1,"Règlement en retard","OK"))))))))</x:f>
        <x:v>OK</x:v>
      </x:c>
      <x:c r="N10" s="30"/>
      <x:c r="O10" s="30"/>
      <x:c r="P10" s="30"/>
      <x:c r="Q10" s="30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0" customHeight="1">
      <x:c r="A11" s="2"/>
      <x:c r="B11" s="30" t="str">
        <x:f>IF('Dépositaire'!C11="","",'Dépositaire'!C11)</x:f>
        <x:v>TR-005</x:v>
      </x:c>
      <x:c r="C11" s="36" t="n">
        <x:f>IF(B11="","",'Dépositaire'!D11)</x:f>
        <x:v>46279</x:v>
      </x:c>
      <x:c r="D11" s="30" t="str">
        <x:f>IF(B11="","",'Dépositaire'!G11)</x:f>
        <x:v>FR0000120321</x:v>
      </x:c>
      <x:c r="E11" s="36" t="n">
        <x:f>IF(B11="","",'Dépositaire'!E11)</x:f>
        <x:v>46281</x:v>
      </x:c>
      <x:c r="F11" s="36" t="n">
        <x:f>IF(B11="","",'Dépositaire'!F11)</x:f>
        <x:v>46281</x:v>
      </x:c>
      <x:c r="G11" s="30" t="n">
        <x:f>IF(B11="","",COUNTIFS('Calculs'!$C$7:$C$76,B11,'Calculs'!$L$7:$L$76,1))</x:f>
        <x:v>1</x:v>
      </x:c>
      <x:c r="H11" s="30" t="n">
        <x:f>IF(B11="","",'Dépositaire'!I11)</x:f>
        <x:v>250</x:v>
      </x:c>
      <x:c r="I11" s="30" t="n">
        <x:f>IF(B11="","",SUMIFS('Calculs'!$I$7:$I$76,'Calculs'!$C$7:$C$76,B11,'Calculs'!$L$7:$L$76,1))</x:f>
        <x:v>250</x:v>
      </x:c>
      <x:c r="J11" s="30" t="n">
        <x:f>IF(B11="","",I11-H11)</x:f>
        <x:v>0</x:v>
      </x:c>
      <x:c r="K11" s="32" t="n">
        <x:f>IF(B11="","",SUMIFS('Calculs'!$N$7:$N$76,'Calculs'!$C$7:$C$76,B11)-IF('Dépositaire'!H11="ACHAT",-'Dépositaire'!I11*'Dépositaire'!J11-'Dépositaire'!K11,'Dépositaire'!I11*'Dépositaire'!J11-'Dépositaire'!K11))</x:f>
        <x:v>0</x:v>
      </x:c>
      <x:c r="L11" s="30" t="n">
        <x:f>IF(B11="",0,IF(AND(C11&lt;='Pilotage'!$C$6,E11&lt;='Pilotage'!$C$6,OR(F11=0,F11&gt;'Pilotage'!$C$6)),1,0))</x:f>
        <x:v>0</x:v>
      </x:c>
      <x:c r="M11" s="37" t="str">
        <x:f>IF(OR(B11="",C11&gt;'Pilotage'!$C$6),"",IF(G11=0,"Opération absente",IF(G11&gt;1,"Doublon",IF(COUNTIFS('Calculs'!$C$7:$C$76,B11,'Calculs'!$G$7:$G$76,D11,'Calculs'!$H$7:$H$76,'Dépositaire'!H11,'Calculs'!$L$7:$L$76,1)&lt;&gt;1,"Référence incorrecte",IF(J11&lt;&gt;0,"Quantité incorrecte",IF(ABS(K11)&gt;'Pilotage'!$C$11,"Montant incorrect",IF(SUMIFS('Calculs'!$E$7:$E$76,'Calculs'!$C$7:$C$76,B11,'Calculs'!$L$7:$L$76,1)&lt;&gt;E11,"Date prévue incorrecte",IF(L11=1,"Règlement en retard","OK"))))))))</x:f>
        <x:v>OK</x:v>
      </x:c>
      <x:c r="N11" s="30"/>
      <x:c r="O11" s="30"/>
      <x:c r="P11" s="30"/>
      <x:c r="Q11" s="30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0" customHeight="1">
      <x:c r="A12" s="2"/>
      <x:c r="B12" s="30" t="str">
        <x:f>IF('Dépositaire'!C12="","",'Dépositaire'!C12)</x:f>
        <x:v>TR-006</x:v>
      </x:c>
      <x:c r="C12" s="36" t="n">
        <x:f>IF(B12="","",'Dépositaire'!D12)</x:f>
        <x:v>46280</x:v>
      </x:c>
      <x:c r="D12" s="30" t="str">
        <x:f>IF(B12="","",'Dépositaire'!G12)</x:f>
        <x:v>FR0000120073</x:v>
      </x:c>
      <x:c r="E12" s="36" t="n">
        <x:f>IF(B12="","",'Dépositaire'!E12)</x:f>
        <x:v>46282</x:v>
      </x:c>
      <x:c r="F12" s="36" t="n">
        <x:f>IF(B12="","",'Dépositaire'!F12)</x:f>
        <x:v>46282</x:v>
      </x:c>
      <x:c r="G12" s="30" t="n">
        <x:f>IF(B12="","",COUNTIFS('Calculs'!$C$7:$C$76,B12,'Calculs'!$L$7:$L$76,1))</x:f>
        <x:v>1</x:v>
      </x:c>
      <x:c r="H12" s="30" t="n">
        <x:f>IF(B12="","",'Dépositaire'!I12)</x:f>
        <x:v>100</x:v>
      </x:c>
      <x:c r="I12" s="30" t="n">
        <x:f>IF(B12="","",SUMIFS('Calculs'!$I$7:$I$76,'Calculs'!$C$7:$C$76,B12,'Calculs'!$L$7:$L$76,1))</x:f>
        <x:v>100</x:v>
      </x:c>
      <x:c r="J12" s="30" t="n">
        <x:f>IF(B12="","",I12-H12)</x:f>
        <x:v>0</x:v>
      </x:c>
      <x:c r="K12" s="32" t="n">
        <x:f>IF(B12="","",SUMIFS('Calculs'!$N$7:$N$76,'Calculs'!$C$7:$C$76,B12)-IF('Dépositaire'!H12="ACHAT",-'Dépositaire'!I12*'Dépositaire'!J12-'Dépositaire'!K12,'Dépositaire'!I12*'Dépositaire'!J12-'Dépositaire'!K12))</x:f>
        <x:v>0</x:v>
      </x:c>
      <x:c r="L12" s="30" t="n">
        <x:f>IF(B12="",0,IF(AND(C12&lt;='Pilotage'!$C$6,E12&lt;='Pilotage'!$C$6,OR(F12=0,F12&gt;'Pilotage'!$C$6)),1,0))</x:f>
        <x:v>0</x:v>
      </x:c>
      <x:c r="M12" s="37" t="str">
        <x:f>IF(OR(B12="",C12&gt;'Pilotage'!$C$6),"",IF(G12=0,"Opération absente",IF(G12&gt;1,"Doublon",IF(COUNTIFS('Calculs'!$C$7:$C$76,B12,'Calculs'!$G$7:$G$76,D12,'Calculs'!$H$7:$H$76,'Dépositaire'!H12,'Calculs'!$L$7:$L$76,1)&lt;&gt;1,"Référence incorrecte",IF(J12&lt;&gt;0,"Quantité incorrecte",IF(ABS(K12)&gt;'Pilotage'!$C$11,"Montant incorrect",IF(SUMIFS('Calculs'!$E$7:$E$76,'Calculs'!$C$7:$C$76,B12,'Calculs'!$L$7:$L$76,1)&lt;&gt;E12,"Date prévue incorrecte",IF(L12=1,"Règlement en retard","OK"))))))))</x:f>
        <x:v>OK</x:v>
      </x:c>
      <x:c r="N12" s="30"/>
      <x:c r="O12" s="30"/>
      <x:c r="P12" s="30"/>
      <x:c r="Q12" s="30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0" customHeight="1">
      <x:c r="A13" s="2"/>
      <x:c r="B13" s="30" t="str">
        <x:f>IF('Dépositaire'!C13="","",'Dépositaire'!C13)</x:f>
        <x:v>TR-007</x:v>
      </x:c>
      <x:c r="C13" s="36" t="n">
        <x:f>IF(B13="","",'Dépositaire'!D13)</x:f>
        <x:v>46280</x:v>
      </x:c>
      <x:c r="D13" s="30" t="str">
        <x:f>IF(B13="","",'Dépositaire'!G13)</x:f>
        <x:v>FR0000120644</x:v>
      </x:c>
      <x:c r="E13" s="36" t="n">
        <x:f>IF(B13="","",'Dépositaire'!E13)</x:f>
        <x:v>46282</x:v>
      </x:c>
      <x:c r="F13" s="36" t="n">
        <x:f>IF(B13="","",'Dépositaire'!F13)</x:f>
        <x:v>46282</x:v>
      </x:c>
      <x:c r="G13" s="30" t="n">
        <x:f>IF(B13="","",COUNTIFS('Calculs'!$C$7:$C$76,B13,'Calculs'!$L$7:$L$76,1))</x:f>
        <x:v>1</x:v>
      </x:c>
      <x:c r="H13" s="30" t="n">
        <x:f>IF(B13="","",'Dépositaire'!I13)</x:f>
        <x:v>200</x:v>
      </x:c>
      <x:c r="I13" s="30" t="n">
        <x:f>IF(B13="","",SUMIFS('Calculs'!$I$7:$I$76,'Calculs'!$C$7:$C$76,B13,'Calculs'!$L$7:$L$76,1))</x:f>
        <x:v>200</x:v>
      </x:c>
      <x:c r="J13" s="30" t="n">
        <x:f>IF(B13="","",I13-H13)</x:f>
        <x:v>0</x:v>
      </x:c>
      <x:c r="K13" s="32" t="n">
        <x:f>IF(B13="","",SUMIFS('Calculs'!$N$7:$N$76,'Calculs'!$C$7:$C$76,B13)-IF('Dépositaire'!H13="ACHAT",-'Dépositaire'!I13*'Dépositaire'!J13-'Dépositaire'!K13,'Dépositaire'!I13*'Dépositaire'!J13-'Dépositaire'!K13))</x:f>
        <x:v>0</x:v>
      </x:c>
      <x:c r="L13" s="30" t="n">
        <x:f>IF(B13="",0,IF(AND(C13&lt;='Pilotage'!$C$6,E13&lt;='Pilotage'!$C$6,OR(F13=0,F13&gt;'Pilotage'!$C$6)),1,0))</x:f>
        <x:v>0</x:v>
      </x:c>
      <x:c r="M13" s="37" t="str">
        <x:f>IF(OR(B13="",C13&gt;'Pilotage'!$C$6),"",IF(G13=0,"Opération absente",IF(G13&gt;1,"Doublon",IF(COUNTIFS('Calculs'!$C$7:$C$76,B13,'Calculs'!$G$7:$G$76,D13,'Calculs'!$H$7:$H$76,'Dépositaire'!H13,'Calculs'!$L$7:$L$76,1)&lt;&gt;1,"Référence incorrecte",IF(J13&lt;&gt;0,"Quantité incorrecte",IF(ABS(K13)&gt;'Pilotage'!$C$11,"Montant incorrect",IF(SUMIFS('Calculs'!$E$7:$E$76,'Calculs'!$C$7:$C$76,B13,'Calculs'!$L$7:$L$76,1)&lt;&gt;E13,"Date prévue incorrecte",IF(L13=1,"Règlement en retard","OK"))))))))</x:f>
        <x:v>OK</x:v>
      </x:c>
      <x:c r="N13" s="30"/>
      <x:c r="O13" s="30"/>
      <x:c r="P13" s="30"/>
      <x:c r="Q13" s="30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0" customHeight="1">
      <x:c r="A14" s="2"/>
      <x:c r="B14" s="30" t="str">
        <x:f>IF('Dépositaire'!C14="","",'Dépositaire'!C14)</x:f>
        <x:v>TR-008</x:v>
      </x:c>
      <x:c r="C14" s="36" t="n">
        <x:f>IF(B14="","",'Dépositaire'!D14)</x:f>
        <x:v>46280</x:v>
      </x:c>
      <x:c r="D14" s="30" t="str">
        <x:f>IF(B14="","",'Dépositaire'!G14)</x:f>
        <x:v>FR0000120321</x:v>
      </x:c>
      <x:c r="E14" s="36" t="n">
        <x:f>IF(B14="","",'Dépositaire'!E14)</x:f>
        <x:v>46282</x:v>
      </x:c>
      <x:c r="F14" s="36" t="n">
        <x:f>IF(B14="","",'Dépositaire'!F14)</x:f>
        <x:v>46282</x:v>
      </x:c>
      <x:c r="G14" s="30" t="n">
        <x:f>IF(B14="","",COUNTIFS('Calculs'!$C$7:$C$76,B14,'Calculs'!$L$7:$L$76,1))</x:f>
        <x:v>1</x:v>
      </x:c>
      <x:c r="H14" s="30" t="n">
        <x:f>IF(B14="","",'Dépositaire'!I14)</x:f>
        <x:v>50</x:v>
      </x:c>
      <x:c r="I14" s="30" t="n">
        <x:f>IF(B14="","",SUMIFS('Calculs'!$I$7:$I$76,'Calculs'!$C$7:$C$76,B14,'Calculs'!$L$7:$L$76,1))</x:f>
        <x:v>50</x:v>
      </x:c>
      <x:c r="J14" s="30" t="n">
        <x:f>IF(B14="","",I14-H14)</x:f>
        <x:v>0</x:v>
      </x:c>
      <x:c r="K14" s="32" t="n">
        <x:f>IF(B14="","",SUMIFS('Calculs'!$N$7:$N$76,'Calculs'!$C$7:$C$76,B14)-IF('Dépositaire'!H14="ACHAT",-'Dépositaire'!I14*'Dépositaire'!J14-'Dépositaire'!K14,'Dépositaire'!I14*'Dépositaire'!J14-'Dépositaire'!K14))</x:f>
        <x:v>0</x:v>
      </x:c>
      <x:c r="L14" s="30" t="n">
        <x:f>IF(B14="",0,IF(AND(C14&lt;='Pilotage'!$C$6,E14&lt;='Pilotage'!$C$6,OR(F14=0,F14&gt;'Pilotage'!$C$6)),1,0))</x:f>
        <x:v>0</x:v>
      </x:c>
      <x:c r="M14" s="37" t="str">
        <x:f>IF(OR(B14="",C14&gt;'Pilotage'!$C$6),"",IF(G14=0,"Opération absente",IF(G14&gt;1,"Doublon",IF(COUNTIFS('Calculs'!$C$7:$C$76,B14,'Calculs'!$G$7:$G$76,D14,'Calculs'!$H$7:$H$76,'Dépositaire'!H14,'Calculs'!$L$7:$L$76,1)&lt;&gt;1,"Référence incorrecte",IF(J14&lt;&gt;0,"Quantité incorrecte",IF(ABS(K14)&gt;'Pilotage'!$C$11,"Montant incorrect",IF(SUMIFS('Calculs'!$E$7:$E$76,'Calculs'!$C$7:$C$76,B14,'Calculs'!$L$7:$L$76,1)&lt;&gt;E14,"Date prévue incorrecte",IF(L14=1,"Règlement en retard","OK"))))))))</x:f>
        <x:v>OK</x:v>
      </x:c>
      <x:c r="N14" s="30"/>
      <x:c r="O14" s="30"/>
      <x:c r="P14" s="30"/>
      <x:c r="Q14" s="30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0" customHeight="1">
      <x:c r="A15" s="2"/>
      <x:c r="B15" s="30" t="str">
        <x:f>IF('Dépositaire'!C15="","",'Dépositaire'!C15)</x:f>
        <x:v>TR-009</x:v>
      </x:c>
      <x:c r="C15" s="36" t="n">
        <x:f>IF(B15="","",'Dépositaire'!D15)</x:f>
        <x:v>46281</x:v>
      </x:c>
      <x:c r="D15" s="30" t="str">
        <x:f>IF(B15="","",'Dépositaire'!G15)</x:f>
        <x:v>FR0000121972</x:v>
      </x:c>
      <x:c r="E15" s="36" t="n">
        <x:f>IF(B15="","",'Dépositaire'!E15)</x:f>
        <x:v>46283</x:v>
      </x:c>
      <x:c r="F15" s="36" t="n">
        <x:f>IF(B15="","",'Dépositaire'!F15)</x:f>
        <x:v>46283</x:v>
      </x:c>
      <x:c r="G15" s="30" t="n">
        <x:f>IF(B15="","",COUNTIFS('Calculs'!$C$7:$C$76,B15,'Calculs'!$L$7:$L$76,1))</x:f>
        <x:v>1</x:v>
      </x:c>
      <x:c r="H15" s="30" t="n">
        <x:f>IF(B15="","",'Dépositaire'!I15)</x:f>
        <x:v>50</x:v>
      </x:c>
      <x:c r="I15" s="30" t="n">
        <x:f>IF(B15="","",SUMIFS('Calculs'!$I$7:$I$76,'Calculs'!$C$7:$C$76,B15,'Calculs'!$L$7:$L$76,1))</x:f>
        <x:v>50</x:v>
      </x:c>
      <x:c r="J15" s="30" t="n">
        <x:f>IF(B15="","",I15-H15)</x:f>
        <x:v>0</x:v>
      </x:c>
      <x:c r="K15" s="32" t="n">
        <x:f>IF(B15="","",SUMIFS('Calculs'!$N$7:$N$76,'Calculs'!$C$7:$C$76,B15)-IF('Dépositaire'!H15="ACHAT",-'Dépositaire'!I15*'Dépositaire'!J15-'Dépositaire'!K15,'Dépositaire'!I15*'Dépositaire'!J15-'Dépositaire'!K15))</x:f>
        <x:v>0</x:v>
      </x:c>
      <x:c r="L15" s="30" t="n">
        <x:f>IF(B15="",0,IF(AND(C15&lt;='Pilotage'!$C$6,E15&lt;='Pilotage'!$C$6,OR(F15=0,F15&gt;'Pilotage'!$C$6)),1,0))</x:f>
        <x:v>0</x:v>
      </x:c>
      <x:c r="M15" s="37" t="str">
        <x:f>IF(OR(B15="",C15&gt;'Pilotage'!$C$6),"",IF(G15=0,"Opération absente",IF(G15&gt;1,"Doublon",IF(COUNTIFS('Calculs'!$C$7:$C$76,B15,'Calculs'!$G$7:$G$76,D15,'Calculs'!$H$7:$H$76,'Dépositaire'!H15,'Calculs'!$L$7:$L$76,1)&lt;&gt;1,"Référence incorrecte",IF(J15&lt;&gt;0,"Quantité incorrecte",IF(ABS(K15)&gt;'Pilotage'!$C$11,"Montant incorrect",IF(SUMIFS('Calculs'!$E$7:$E$76,'Calculs'!$C$7:$C$76,B15,'Calculs'!$L$7:$L$76,1)&lt;&gt;E15,"Date prévue incorrecte",IF(L15=1,"Règlement en retard","OK"))))))))</x:f>
        <x:v>OK</x:v>
      </x:c>
      <x:c r="N15" s="30"/>
      <x:c r="O15" s="30"/>
      <x:c r="P15" s="30"/>
      <x:c r="Q15" s="30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0" customHeight="1">
      <x:c r="A16" s="2"/>
      <x:c r="B16" s="30" t="str">
        <x:f>IF('Dépositaire'!C16="","",'Dépositaire'!C16)</x:f>
        <x:v>TR-010</x:v>
      </x:c>
      <x:c r="C16" s="36" t="n">
        <x:f>IF(B16="","",'Dépositaire'!D16)</x:f>
        <x:v>46281</x:v>
      </x:c>
      <x:c r="D16" s="30" t="str">
        <x:f>IF(B16="","",'Dépositaire'!G16)</x:f>
        <x:v>FR0000125486</x:v>
      </x:c>
      <x:c r="E16" s="36" t="n">
        <x:f>IF(B16="","",'Dépositaire'!E16)</x:f>
        <x:v>46283</x:v>
      </x:c>
      <x:c r="F16" s="36" t="n">
        <x:f>IF(B16="","",'Dépositaire'!F16)</x:f>
        <x:v>46283</x:v>
      </x:c>
      <x:c r="G16" s="30" t="n">
        <x:f>IF(B16="","",COUNTIFS('Calculs'!$C$7:$C$76,B16,'Calculs'!$L$7:$L$76,1))</x:f>
        <x:v>1</x:v>
      </x:c>
      <x:c r="H16" s="30" t="n">
        <x:f>IF(B16="","",'Dépositaire'!I16)</x:f>
        <x:v>100</x:v>
      </x:c>
      <x:c r="I16" s="30" t="n">
        <x:f>IF(B16="","",SUMIFS('Calculs'!$I$7:$I$76,'Calculs'!$C$7:$C$76,B16,'Calculs'!$L$7:$L$76,1))</x:f>
        <x:v>100</x:v>
      </x:c>
      <x:c r="J16" s="30" t="n">
        <x:f>IF(B16="","",I16-H16)</x:f>
        <x:v>0</x:v>
      </x:c>
      <x:c r="K16" s="32" t="n">
        <x:f>IF(B16="","",SUMIFS('Calculs'!$N$7:$N$76,'Calculs'!$C$7:$C$76,B16)-IF('Dépositaire'!H16="ACHAT",-'Dépositaire'!I16*'Dépositaire'!J16-'Dépositaire'!K16,'Dépositaire'!I16*'Dépositaire'!J16-'Dépositaire'!K16))</x:f>
        <x:v>0</x:v>
      </x:c>
      <x:c r="L16" s="30" t="n">
        <x:f>IF(B16="",0,IF(AND(C16&lt;='Pilotage'!$C$6,E16&lt;='Pilotage'!$C$6,OR(F16=0,F16&gt;'Pilotage'!$C$6)),1,0))</x:f>
        <x:v>0</x:v>
      </x:c>
      <x:c r="M16" s="37" t="str">
        <x:f>IF(OR(B16="",C16&gt;'Pilotage'!$C$6),"",IF(G16=0,"Opération absente",IF(G16&gt;1,"Doublon",IF(COUNTIFS('Calculs'!$C$7:$C$76,B16,'Calculs'!$G$7:$G$76,D16,'Calculs'!$H$7:$H$76,'Dépositaire'!H16,'Calculs'!$L$7:$L$76,1)&lt;&gt;1,"Référence incorrecte",IF(J16&lt;&gt;0,"Quantité incorrecte",IF(ABS(K16)&gt;'Pilotage'!$C$11,"Montant incorrect",IF(SUMIFS('Calculs'!$E$7:$E$76,'Calculs'!$C$7:$C$76,B16,'Calculs'!$L$7:$L$76,1)&lt;&gt;E16,"Date prévue incorrecte",IF(L16=1,"Règlement en retard","OK"))))))))</x:f>
        <x:v>OK</x:v>
      </x:c>
      <x:c r="N16" s="30"/>
      <x:c r="O16" s="30"/>
      <x:c r="P16" s="30"/>
      <x:c r="Q16" s="30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0" customHeight="1">
      <x:c r="A17" s="2"/>
      <x:c r="B17" s="30" t="str">
        <x:f>IF('Dépositaire'!C17="","",'Dépositaire'!C17)</x:f>
        <x:v>TR-011</x:v>
      </x:c>
      <x:c r="C17" s="36" t="n">
        <x:f>IF(B17="","",'Dépositaire'!D17)</x:f>
        <x:v>46282</x:v>
      </x:c>
      <x:c r="D17" s="30" t="str">
        <x:f>IF(B17="","",'Dépositaire'!G17)</x:f>
        <x:v>FR0000120073</x:v>
      </x:c>
      <x:c r="E17" s="36" t="n">
        <x:f>IF(B17="","",'Dépositaire'!E17)</x:f>
        <x:v>46286</x:v>
      </x:c>
      <x:c r="F17" s="36" t="n">
        <x:f>IF(B17="","",'Dépositaire'!F17)</x:f>
        <x:v>46286</x:v>
      </x:c>
      <x:c r="G17" s="30" t="n">
        <x:f>IF(B17="","",COUNTIFS('Calculs'!$C$7:$C$76,B17,'Calculs'!$L$7:$L$76,1))</x:f>
        <x:v>1</x:v>
      </x:c>
      <x:c r="H17" s="30" t="n">
        <x:f>IF(B17="","",'Dépositaire'!I17)</x:f>
        <x:v>80</x:v>
      </x:c>
      <x:c r="I17" s="30" t="n">
        <x:f>IF(B17="","",SUMIFS('Calculs'!$I$7:$I$76,'Calculs'!$C$7:$C$76,B17,'Calculs'!$L$7:$L$76,1))</x:f>
        <x:v>80</x:v>
      </x:c>
      <x:c r="J17" s="30" t="n">
        <x:f>IF(B17="","",I17-H17)</x:f>
        <x:v>0</x:v>
      </x:c>
      <x:c r="K17" s="32" t="n">
        <x:f>IF(B17="","",SUMIFS('Calculs'!$N$7:$N$76,'Calculs'!$C$7:$C$76,B17)-IF('Dépositaire'!H17="ACHAT",-'Dépositaire'!I17*'Dépositaire'!J17-'Dépositaire'!K17,'Dépositaire'!I17*'Dépositaire'!J17-'Dépositaire'!K17))</x:f>
        <x:v>1.8189894035458565e-12</x:v>
      </x:c>
      <x:c r="L17" s="30" t="n">
        <x:f>IF(B17="",0,IF(AND(C17&lt;='Pilotage'!$C$6,E17&lt;='Pilotage'!$C$6,OR(F17=0,F17&gt;'Pilotage'!$C$6)),1,0))</x:f>
        <x:v>0</x:v>
      </x:c>
      <x:c r="M17" s="37" t="str">
        <x:f>IF(OR(B17="",C17&gt;'Pilotage'!$C$6),"",IF(G17=0,"Opération absente",IF(G17&gt;1,"Doublon",IF(COUNTIFS('Calculs'!$C$7:$C$76,B17,'Calculs'!$G$7:$G$76,D17,'Calculs'!$H$7:$H$76,'Dépositaire'!H17,'Calculs'!$L$7:$L$76,1)&lt;&gt;1,"Référence incorrecte",IF(J17&lt;&gt;0,"Quantité incorrecte",IF(ABS(K17)&gt;'Pilotage'!$C$11,"Montant incorrect",IF(SUMIFS('Calculs'!$E$7:$E$76,'Calculs'!$C$7:$C$76,B17,'Calculs'!$L$7:$L$76,1)&lt;&gt;E17,"Date prévue incorrecte",IF(L17=1,"Règlement en retard","OK"))))))))</x:f>
        <x:v>OK</x:v>
      </x:c>
      <x:c r="N17" s="30"/>
      <x:c r="O17" s="30"/>
      <x:c r="P17" s="30"/>
      <x:c r="Q17" s="30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0" customHeight="1">
      <x:c r="A18" s="2"/>
      <x:c r="B18" s="30" t="str">
        <x:f>IF('Dépositaire'!C18="","",'Dépositaire'!C18)</x:f>
        <x:v>TR-012</x:v>
      </x:c>
      <x:c r="C18" s="36" t="n">
        <x:f>IF(B18="","",'Dépositaire'!D18)</x:f>
        <x:v>46282</x:v>
      </x:c>
      <x:c r="D18" s="30" t="str">
        <x:f>IF(B18="","",'Dépositaire'!G18)</x:f>
        <x:v>FR0000120644</x:v>
      </x:c>
      <x:c r="E18" s="36" t="n">
        <x:f>IF(B18="","",'Dépositaire'!E18)</x:f>
        <x:v>46286</x:v>
      </x:c>
      <x:c r="F18" s="36" t="n">
        <x:f>IF(B18="","",'Dépositaire'!F18)</x:f>
        <x:v>46286</x:v>
      </x:c>
      <x:c r="G18" s="30" t="n">
        <x:f>IF(B18="","",COUNTIFS('Calculs'!$C$7:$C$76,B18,'Calculs'!$L$7:$L$76,1))</x:f>
        <x:v>1</x:v>
      </x:c>
      <x:c r="H18" s="30" t="n">
        <x:f>IF(B18="","",'Dépositaire'!I18)</x:f>
        <x:v>150</x:v>
      </x:c>
      <x:c r="I18" s="30" t="n">
        <x:f>IF(B18="","",SUMIFS('Calculs'!$I$7:$I$76,'Calculs'!$C$7:$C$76,B18,'Calculs'!$L$7:$L$76,1))</x:f>
        <x:v>150</x:v>
      </x:c>
      <x:c r="J18" s="30" t="n">
        <x:f>IF(B18="","",I18-H18)</x:f>
        <x:v>0</x:v>
      </x:c>
      <x:c r="K18" s="32" t="n">
        <x:f>IF(B18="","",SUMIFS('Calculs'!$N$7:$N$76,'Calculs'!$C$7:$C$76,B18)-IF('Dépositaire'!H18="ACHAT",-'Dépositaire'!I18*'Dépositaire'!J18-'Dépositaire'!K18,'Dépositaire'!I18*'Dépositaire'!J18-'Dépositaire'!K18))</x:f>
        <x:v>0</x:v>
      </x:c>
      <x:c r="L18" s="30" t="n">
        <x:f>IF(B18="",0,IF(AND(C18&lt;='Pilotage'!$C$6,E18&lt;='Pilotage'!$C$6,OR(F18=0,F18&gt;'Pilotage'!$C$6)),1,0))</x:f>
        <x:v>0</x:v>
      </x:c>
      <x:c r="M18" s="37" t="str">
        <x:f>IF(OR(B18="",C18&gt;'Pilotage'!$C$6),"",IF(G18=0,"Opération absente",IF(G18&gt;1,"Doublon",IF(COUNTIFS('Calculs'!$C$7:$C$76,B18,'Calculs'!$G$7:$G$76,D18,'Calculs'!$H$7:$H$76,'Dépositaire'!H18,'Calculs'!$L$7:$L$76,1)&lt;&gt;1,"Référence incorrecte",IF(J18&lt;&gt;0,"Quantité incorrecte",IF(ABS(K18)&gt;'Pilotage'!$C$11,"Montant incorrect",IF(SUMIFS('Calculs'!$E$7:$E$76,'Calculs'!$C$7:$C$76,B18,'Calculs'!$L$7:$L$76,1)&lt;&gt;E18,"Date prévue incorrecte",IF(L18=1,"Règlement en retard","OK"))))))))</x:f>
        <x:v>OK</x:v>
      </x:c>
      <x:c r="N18" s="30"/>
      <x:c r="O18" s="30"/>
      <x:c r="P18" s="30"/>
      <x:c r="Q18" s="30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0" customHeight="1">
      <x:c r="A19" s="2"/>
      <x:c r="B19" s="30" t="str">
        <x:f>IF('Dépositaire'!C19="","",'Dépositaire'!C19)</x:f>
        <x:v>TR-013</x:v>
      </x:c>
      <x:c r="C19" s="36" t="n">
        <x:f>IF(B19="","",'Dépositaire'!D19)</x:f>
        <x:v>46283</x:v>
      </x:c>
      <x:c r="D19" s="30" t="str">
        <x:f>IF(B19="","",'Dépositaire'!G19)</x:f>
        <x:v>FR0000120321</x:v>
      </x:c>
      <x:c r="E19" s="36" t="n">
        <x:f>IF(B19="","",'Dépositaire'!E19)</x:f>
        <x:v>46287</x:v>
      </x:c>
      <x:c r="F19" s="36" t="n">
        <x:f>IF(B19="","",'Dépositaire'!F19)</x:f>
        <x:v>46287</x:v>
      </x:c>
      <x:c r="G19" s="30" t="n">
        <x:f>IF(B19="","",COUNTIFS('Calculs'!$C$7:$C$76,B19,'Calculs'!$L$7:$L$76,1))</x:f>
        <x:v>1</x:v>
      </x:c>
      <x:c r="H19" s="30" t="n">
        <x:f>IF(B19="","",'Dépositaire'!I19)</x:f>
        <x:v>30</x:v>
      </x:c>
      <x:c r="I19" s="30" t="n">
        <x:f>IF(B19="","",SUMIFS('Calculs'!$I$7:$I$76,'Calculs'!$C$7:$C$76,B19,'Calculs'!$L$7:$L$76,1))</x:f>
        <x:v>30</x:v>
      </x:c>
      <x:c r="J19" s="30" t="n">
        <x:f>IF(B19="","",I19-H19)</x:f>
        <x:v>0</x:v>
      </x:c>
      <x:c r="K19" s="32" t="n">
        <x:f>IF(B19="","",SUMIFS('Calculs'!$N$7:$N$76,'Calculs'!$C$7:$C$76,B19)-IF('Dépositaire'!H19="ACHAT",-'Dépositaire'!I19*'Dépositaire'!J19-'Dépositaire'!K19,'Dépositaire'!I19*'Dépositaire'!J19-'Dépositaire'!K19))</x:f>
        <x:v>0</x:v>
      </x:c>
      <x:c r="L19" s="30" t="n">
        <x:f>IF(B19="",0,IF(AND(C19&lt;='Pilotage'!$C$6,E19&lt;='Pilotage'!$C$6,OR(F19=0,F19&gt;'Pilotage'!$C$6)),1,0))</x:f>
        <x:v>0</x:v>
      </x:c>
      <x:c r="M19" s="37" t="str">
        <x:f>IF(OR(B19="",C19&gt;'Pilotage'!$C$6),"",IF(G19=0,"Opération absente",IF(G19&gt;1,"Doublon",IF(COUNTIFS('Calculs'!$C$7:$C$76,B19,'Calculs'!$G$7:$G$76,D19,'Calculs'!$H$7:$H$76,'Dépositaire'!H19,'Calculs'!$L$7:$L$76,1)&lt;&gt;1,"Référence incorrecte",IF(J19&lt;&gt;0,"Quantité incorrecte",IF(ABS(K19)&gt;'Pilotage'!$C$11,"Montant incorrect",IF(SUMIFS('Calculs'!$E$7:$E$76,'Calculs'!$C$7:$C$76,B19,'Calculs'!$L$7:$L$76,1)&lt;&gt;E19,"Date prévue incorrecte",IF(L19=1,"Règlement en retard","OK"))))))))</x:f>
        <x:v>OK</x:v>
      </x:c>
      <x:c r="N19" s="30"/>
      <x:c r="O19" s="30"/>
      <x:c r="P19" s="30"/>
      <x:c r="Q19" s="30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0" customHeight="1">
      <x:c r="A20" s="2"/>
      <x:c r="B20" s="30" t="str">
        <x:f>IF('Dépositaire'!C20="","",'Dépositaire'!C20)</x:f>
        <x:v>TR-014</x:v>
      </x:c>
      <x:c r="C20" s="36" t="n">
        <x:f>IF(B20="","",'Dépositaire'!D20)</x:f>
        <x:v>46283</x:v>
      </x:c>
      <x:c r="D20" s="30" t="str">
        <x:f>IF(B20="","",'Dépositaire'!G20)</x:f>
        <x:v>FR0000121972</x:v>
      </x:c>
      <x:c r="E20" s="36" t="n">
        <x:f>IF(B20="","",'Dépositaire'!E20)</x:f>
        <x:v>46287</x:v>
      </x:c>
      <x:c r="F20" s="36" t="n">
        <x:f>IF(B20="","",'Dépositaire'!F20)</x:f>
        <x:v>46287</x:v>
      </x:c>
      <x:c r="G20" s="30" t="n">
        <x:f>IF(B20="","",COUNTIFS('Calculs'!$C$7:$C$76,B20,'Calculs'!$L$7:$L$76,1))</x:f>
        <x:v>1</x:v>
      </x:c>
      <x:c r="H20" s="30" t="n">
        <x:f>IF(B20="","",'Dépositaire'!I20)</x:f>
        <x:v>60</x:v>
      </x:c>
      <x:c r="I20" s="30" t="n">
        <x:f>IF(B20="","",SUMIFS('Calculs'!$I$7:$I$76,'Calculs'!$C$7:$C$76,B20,'Calculs'!$L$7:$L$76,1))</x:f>
        <x:v>60</x:v>
      </x:c>
      <x:c r="J20" s="30" t="n">
        <x:f>IF(B20="","",I20-H20)</x:f>
        <x:v>0</x:v>
      </x:c>
      <x:c r="K20" s="32" t="n">
        <x:f>IF(B20="","",SUMIFS('Calculs'!$N$7:$N$76,'Calculs'!$C$7:$C$76,B20)-IF('Dépositaire'!H20="ACHAT",-'Dépositaire'!I20*'Dépositaire'!J20-'Dépositaire'!K20,'Dépositaire'!I20*'Dépositaire'!J20-'Dépositaire'!K20))</x:f>
        <x:v>0</x:v>
      </x:c>
      <x:c r="L20" s="30" t="n">
        <x:f>IF(B20="",0,IF(AND(C20&lt;='Pilotage'!$C$6,E20&lt;='Pilotage'!$C$6,OR(F20=0,F20&gt;'Pilotage'!$C$6)),1,0))</x:f>
        <x:v>0</x:v>
      </x:c>
      <x:c r="M20" s="37" t="str">
        <x:f>IF(OR(B20="",C20&gt;'Pilotage'!$C$6),"",IF(G20=0,"Opération absente",IF(G20&gt;1,"Doublon",IF(COUNTIFS('Calculs'!$C$7:$C$76,B20,'Calculs'!$G$7:$G$76,D20,'Calculs'!$H$7:$H$76,'Dépositaire'!H20,'Calculs'!$L$7:$L$76,1)&lt;&gt;1,"Référence incorrecte",IF(J20&lt;&gt;0,"Quantité incorrecte",IF(ABS(K20)&gt;'Pilotage'!$C$11,"Montant incorrect",IF(SUMIFS('Calculs'!$E$7:$E$76,'Calculs'!$C$7:$C$76,B20,'Calculs'!$L$7:$L$76,1)&lt;&gt;E20,"Date prévue incorrecte",IF(L20=1,"Règlement en retard","OK"))))))))</x:f>
        <x:v>OK</x:v>
      </x:c>
      <x:c r="N20" s="30"/>
      <x:c r="O20" s="30"/>
      <x:c r="P20" s="30"/>
      <x:c r="Q20" s="30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0" customHeight="1">
      <x:c r="A21" s="2"/>
      <x:c r="B21" s="30" t="str">
        <x:f>IF('Dépositaire'!C21="","",'Dépositaire'!C21)</x:f>
        <x:v>TR-015</x:v>
      </x:c>
      <x:c r="C21" s="36" t="n">
        <x:f>IF(B21="","",'Dépositaire'!D21)</x:f>
        <x:v>46283</x:v>
      </x:c>
      <x:c r="D21" s="30" t="str">
        <x:f>IF(B21="","",'Dépositaire'!G21)</x:f>
        <x:v>FR0000125486</x:v>
      </x:c>
      <x:c r="E21" s="36" t="n">
        <x:f>IF(B21="","",'Dépositaire'!E21)</x:f>
        <x:v>46287</x:v>
      </x:c>
      <x:c r="F21" s="36" t="n">
        <x:f>IF(B21="","",'Dépositaire'!F21)</x:f>
        <x:v>46287</x:v>
      </x:c>
      <x:c r="G21" s="30" t="n">
        <x:f>IF(B21="","",COUNTIFS('Calculs'!$C$7:$C$76,B21,'Calculs'!$L$7:$L$76,1))</x:f>
        <x:v>1</x:v>
      </x:c>
      <x:c r="H21" s="30" t="n">
        <x:f>IF(B21="","",'Dépositaire'!I21)</x:f>
        <x:v>100</x:v>
      </x:c>
      <x:c r="I21" s="30" t="n">
        <x:f>IF(B21="","",SUMIFS('Calculs'!$I$7:$I$76,'Calculs'!$C$7:$C$76,B21,'Calculs'!$L$7:$L$76,1))</x:f>
        <x:v>100</x:v>
      </x:c>
      <x:c r="J21" s="30" t="n">
        <x:f>IF(B21="","",I21-H21)</x:f>
        <x:v>0</x:v>
      </x:c>
      <x:c r="K21" s="32" t="n">
        <x:f>IF(B21="","",SUMIFS('Calculs'!$N$7:$N$76,'Calculs'!$C$7:$C$76,B21)-IF('Dépositaire'!H21="ACHAT",-'Dépositaire'!I21*'Dépositaire'!J21-'Dépositaire'!K21,'Dépositaire'!I21*'Dépositaire'!J21-'Dépositaire'!K21))</x:f>
        <x:v>0</x:v>
      </x:c>
      <x:c r="L21" s="30" t="n">
        <x:f>IF(B21="",0,IF(AND(C21&lt;='Pilotage'!$C$6,E21&lt;='Pilotage'!$C$6,OR(F21=0,F21&gt;'Pilotage'!$C$6)),1,0))</x:f>
        <x:v>0</x:v>
      </x:c>
      <x:c r="M21" s="37" t="str">
        <x:f>IF(OR(B21="",C21&gt;'Pilotage'!$C$6),"",IF(G21=0,"Opération absente",IF(G21&gt;1,"Doublon",IF(COUNTIFS('Calculs'!$C$7:$C$76,B21,'Calculs'!$G$7:$G$76,D21,'Calculs'!$H$7:$H$76,'Dépositaire'!H21,'Calculs'!$L$7:$L$76,1)&lt;&gt;1,"Référence incorrecte",IF(J21&lt;&gt;0,"Quantité incorrecte",IF(ABS(K21)&gt;'Pilotage'!$C$11,"Montant incorrect",IF(SUMIFS('Calculs'!$E$7:$E$76,'Calculs'!$C$7:$C$76,B21,'Calculs'!$L$7:$L$76,1)&lt;&gt;E21,"Date prévue incorrecte",IF(L21=1,"Règlement en retard","OK"))))))))</x:f>
        <x:v>OK</x:v>
      </x:c>
      <x:c r="N21" s="30"/>
      <x:c r="O21" s="30"/>
      <x:c r="P21" s="30"/>
      <x:c r="Q21" s="30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0" customHeight="1">
      <x:c r="A22" s="2"/>
      <x:c r="B22" s="30" t="str">
        <x:f>IF('Dépositaire'!C22="","",'Dépositaire'!C22)</x:f>
        <x:v>TR-016</x:v>
      </x:c>
      <x:c r="C22" s="36" t="n">
        <x:f>IF(B22="","",'Dépositaire'!D22)</x:f>
        <x:v>46286</x:v>
      </x:c>
      <x:c r="D22" s="30" t="str">
        <x:f>IF(B22="","",'Dépositaire'!G22)</x:f>
        <x:v>FR0000120073</x:v>
      </x:c>
      <x:c r="E22" s="36" t="n">
        <x:f>IF(B22="","",'Dépositaire'!E22)</x:f>
        <x:v>46288</x:v>
      </x:c>
      <x:c r="F22" s="36" t="n">
        <x:f>IF(B22="","",'Dépositaire'!F22)</x:f>
        <x:v>46288</x:v>
      </x:c>
      <x:c r="G22" s="30" t="n">
        <x:f>IF(B22="","",COUNTIFS('Calculs'!$C$7:$C$76,B22,'Calculs'!$L$7:$L$76,1))</x:f>
        <x:v>1</x:v>
      </x:c>
      <x:c r="H22" s="30" t="n">
        <x:f>IF(B22="","",'Dépositaire'!I22)</x:f>
        <x:v>70</x:v>
      </x:c>
      <x:c r="I22" s="30" t="n">
        <x:f>IF(B22="","",SUMIFS('Calculs'!$I$7:$I$76,'Calculs'!$C$7:$C$76,B22,'Calculs'!$L$7:$L$76,1))</x:f>
        <x:v>70</x:v>
      </x:c>
      <x:c r="J22" s="30" t="n">
        <x:f>IF(B22="","",I22-H22)</x:f>
        <x:v>0</x:v>
      </x:c>
      <x:c r="K22" s="32" t="n">
        <x:f>IF(B22="","",SUMIFS('Calculs'!$N$7:$N$76,'Calculs'!$C$7:$C$76,B22)-IF('Dépositaire'!H22="ACHAT",-'Dépositaire'!I22*'Dépositaire'!J22-'Dépositaire'!K22,'Dépositaire'!I22*'Dépositaire'!J22-'Dépositaire'!K22))</x:f>
        <x:v>0</x:v>
      </x:c>
      <x:c r="L22" s="30" t="n">
        <x:f>IF(B22="",0,IF(AND(C22&lt;='Pilotage'!$C$6,E22&lt;='Pilotage'!$C$6,OR(F22=0,F22&gt;'Pilotage'!$C$6)),1,0))</x:f>
        <x:v>0</x:v>
      </x:c>
      <x:c r="M22" s="37" t="str">
        <x:f>IF(OR(B22="",C22&gt;'Pilotage'!$C$6),"",IF(G22=0,"Opération absente",IF(G22&gt;1,"Doublon",IF(COUNTIFS('Calculs'!$C$7:$C$76,B22,'Calculs'!$G$7:$G$76,D22,'Calculs'!$H$7:$H$76,'Dépositaire'!H22,'Calculs'!$L$7:$L$76,1)&lt;&gt;1,"Référence incorrecte",IF(J22&lt;&gt;0,"Quantité incorrecte",IF(ABS(K22)&gt;'Pilotage'!$C$11,"Montant incorrect",IF(SUMIFS('Calculs'!$E$7:$E$76,'Calculs'!$C$7:$C$76,B22,'Calculs'!$L$7:$L$76,1)&lt;&gt;E22,"Date prévue incorrecte",IF(L22=1,"Règlement en retard","OK"))))))))</x:f>
        <x:v>OK</x:v>
      </x:c>
      <x:c r="N22" s="30"/>
      <x:c r="O22" s="30"/>
      <x:c r="P22" s="30"/>
      <x:c r="Q22" s="30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0" customHeight="1">
      <x:c r="A23" s="2"/>
      <x:c r="B23" s="30" t="str">
        <x:f>IF('Dépositaire'!C23="","",'Dépositaire'!C23)</x:f>
        <x:v>TR-017</x:v>
      </x:c>
      <x:c r="C23" s="36" t="n">
        <x:f>IF(B23="","",'Dépositaire'!D23)</x:f>
        <x:v>46286</x:v>
      </x:c>
      <x:c r="D23" s="30" t="str">
        <x:f>IF(B23="","",'Dépositaire'!G23)</x:f>
        <x:v>FR0000121972</x:v>
      </x:c>
      <x:c r="E23" s="36" t="n">
        <x:f>IF(B23="","",'Dépositaire'!E23)</x:f>
        <x:v>46288</x:v>
      </x:c>
      <x:c r="F23" s="36" t="n">
        <x:f>IF(B23="","",'Dépositaire'!F23)</x:f>
        <x:v>46290</x:v>
      </x:c>
      <x:c r="G23" s="30" t="n">
        <x:f>IF(B23="","",COUNTIFS('Calculs'!$C$7:$C$76,B23,'Calculs'!$L$7:$L$76,1))</x:f>
        <x:v>1</x:v>
      </x:c>
      <x:c r="H23" s="30" t="n">
        <x:f>IF(B23="","",'Dépositaire'!I23)</x:f>
        <x:v>40</x:v>
      </x:c>
      <x:c r="I23" s="30" t="n">
        <x:f>IF(B23="","",SUMIFS('Calculs'!$I$7:$I$76,'Calculs'!$C$7:$C$76,B23,'Calculs'!$L$7:$L$76,1))</x:f>
        <x:v>40</x:v>
      </x:c>
      <x:c r="J23" s="30" t="n">
        <x:f>IF(B23="","",I23-H23)</x:f>
        <x:v>0</x:v>
      </x:c>
      <x:c r="K23" s="32" t="n">
        <x:f>IF(B23="","",SUMIFS('Calculs'!$N$7:$N$76,'Calculs'!$C$7:$C$76,B23)-IF('Dépositaire'!H23="ACHAT",-'Dépositaire'!I23*'Dépositaire'!J23-'Dépositaire'!K23,'Dépositaire'!I23*'Dépositaire'!J23-'Dépositaire'!K23))</x:f>
        <x:v>0</x:v>
      </x:c>
      <x:c r="L23" s="30" t="n">
        <x:f>IF(B23="",0,IF(AND(C23&lt;='Pilotage'!$C$6,E23&lt;='Pilotage'!$C$6,OR(F23=0,F23&gt;'Pilotage'!$C$6)),1,0))</x:f>
        <x:v>0</x:v>
      </x:c>
      <x:c r="M23" s="37" t="str">
        <x:f>IF(OR(B23="",C23&gt;'Pilotage'!$C$6),"",IF(G23=0,"Opération absente",IF(G23&gt;1,"Doublon",IF(COUNTIFS('Calculs'!$C$7:$C$76,B23,'Calculs'!$G$7:$G$76,D23,'Calculs'!$H$7:$H$76,'Dépositaire'!H23,'Calculs'!$L$7:$L$76,1)&lt;&gt;1,"Référence incorrecte",IF(J23&lt;&gt;0,"Quantité incorrecte",IF(ABS(K23)&gt;'Pilotage'!$C$11,"Montant incorrect",IF(SUMIFS('Calculs'!$E$7:$E$76,'Calculs'!$C$7:$C$76,B23,'Calculs'!$L$7:$L$76,1)&lt;&gt;E23,"Date prévue incorrecte",IF(L23=1,"Règlement en retard","OK"))))))))</x:f>
        <x:v>OK</x:v>
      </x:c>
      <x:c r="N23" s="30"/>
      <x:c r="O23" s="30"/>
      <x:c r="P23" s="30"/>
      <x:c r="Q23" s="30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0" customHeight="1">
      <x:c r="A24" s="2"/>
      <x:c r="B24" s="30" t="str">
        <x:f>IF('Dépositaire'!C24="","",'Dépositaire'!C24)</x:f>
        <x:v>TR-018</x:v>
      </x:c>
      <x:c r="C24" s="36" t="n">
        <x:f>IF(B24="","",'Dépositaire'!D24)</x:f>
        <x:v>46286</x:v>
      </x:c>
      <x:c r="D24" s="30" t="str">
        <x:f>IF(B24="","",'Dépositaire'!G24)</x:f>
        <x:v>FR0000120644</x:v>
      </x:c>
      <x:c r="E24" s="36" t="n">
        <x:f>IF(B24="","",'Dépositaire'!E24)</x:f>
        <x:v>46288</x:v>
      </x:c>
      <x:c r="F24" s="36" t="n">
        <x:f>IF(B24="","",'Dépositaire'!F24)</x:f>
        <x:v>46288</x:v>
      </x:c>
      <x:c r="G24" s="30" t="n">
        <x:f>IF(B24="","",COUNTIFS('Calculs'!$C$7:$C$76,B24,'Calculs'!$L$7:$L$76,1))</x:f>
        <x:v>1</x:v>
      </x:c>
      <x:c r="H24" s="30" t="n">
        <x:f>IF(B24="","",'Dépositaire'!I24)</x:f>
        <x:v>100</x:v>
      </x:c>
      <x:c r="I24" s="30" t="n">
        <x:f>IF(B24="","",SUMIFS('Calculs'!$I$7:$I$76,'Calculs'!$C$7:$C$76,B24,'Calculs'!$L$7:$L$76,1))</x:f>
        <x:v>100</x:v>
      </x:c>
      <x:c r="J24" s="30" t="n">
        <x:f>IF(B24="","",I24-H24)</x:f>
        <x:v>0</x:v>
      </x:c>
      <x:c r="K24" s="32" t="n">
        <x:f>IF(B24="","",SUMIFS('Calculs'!$N$7:$N$76,'Calculs'!$C$7:$C$76,B24)-IF('Dépositaire'!H24="ACHAT",-'Dépositaire'!I24*'Dépositaire'!J24-'Dépositaire'!K24,'Dépositaire'!I24*'Dépositaire'!J24-'Dépositaire'!K24))</x:f>
        <x:v>0</x:v>
      </x:c>
      <x:c r="L24" s="30" t="n">
        <x:f>IF(B24="",0,IF(AND(C24&lt;='Pilotage'!$C$6,E24&lt;='Pilotage'!$C$6,OR(F24=0,F24&gt;'Pilotage'!$C$6)),1,0))</x:f>
        <x:v>0</x:v>
      </x:c>
      <x:c r="M24" s="37" t="str">
        <x:f>IF(OR(B24="",C24&gt;'Pilotage'!$C$6),"",IF(G24=0,"Opération absente",IF(G24&gt;1,"Doublon",IF(COUNTIFS('Calculs'!$C$7:$C$76,B24,'Calculs'!$G$7:$G$76,D24,'Calculs'!$H$7:$H$76,'Dépositaire'!H24,'Calculs'!$L$7:$L$76,1)&lt;&gt;1,"Référence incorrecte",IF(J24&lt;&gt;0,"Quantité incorrecte",IF(ABS(K24)&gt;'Pilotage'!$C$11,"Montant incorrect",IF(SUMIFS('Calculs'!$E$7:$E$76,'Calculs'!$C$7:$C$76,B24,'Calculs'!$L$7:$L$76,1)&lt;&gt;E24,"Date prévue incorrecte",IF(L24=1,"Règlement en retard","OK"))))))))</x:f>
        <x:v>OK</x:v>
      </x:c>
      <x:c r="N24" s="30"/>
      <x:c r="O24" s="30"/>
      <x:c r="P24" s="30"/>
      <x:c r="Q24" s="30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0" customHeight="1">
      <x:c r="A25" s="2"/>
      <x:c r="B25" s="30" t="str">
        <x:f>IF('Dépositaire'!C25="","",'Dépositaire'!C25)</x:f>
        <x:v>TR-019</x:v>
      </x:c>
      <x:c r="C25" s="36" t="n">
        <x:f>IF(B25="","",'Dépositaire'!D25)</x:f>
        <x:v>46287</x:v>
      </x:c>
      <x:c r="D25" s="30" t="str">
        <x:f>IF(B25="","",'Dépositaire'!G25)</x:f>
        <x:v>FR0000125486</x:v>
      </x:c>
      <x:c r="E25" s="36" t="n">
        <x:f>IF(B25="","",'Dépositaire'!E25)</x:f>
        <x:v>46289</x:v>
      </x:c>
      <x:c r="F25" s="36" t="n">
        <x:f>IF(B25="","",'Dépositaire'!F25)</x:f>
        <x:v>46289</x:v>
      </x:c>
      <x:c r="G25" s="30" t="n">
        <x:f>IF(B25="","",COUNTIFS('Calculs'!$C$7:$C$76,B25,'Calculs'!$L$7:$L$76,1))</x:f>
        <x:v>1</x:v>
      </x:c>
      <x:c r="H25" s="30" t="n">
        <x:f>IF(B25="","",'Dépositaire'!I25)</x:f>
        <x:v>50</x:v>
      </x:c>
      <x:c r="I25" s="30" t="n">
        <x:f>IF(B25="","",SUMIFS('Calculs'!$I$7:$I$76,'Calculs'!$C$7:$C$76,B25,'Calculs'!$L$7:$L$76,1))</x:f>
        <x:v>50</x:v>
      </x:c>
      <x:c r="J25" s="30" t="n">
        <x:f>IF(B25="","",I25-H25)</x:f>
        <x:v>0</x:v>
      </x:c>
      <x:c r="K25" s="32" t="n">
        <x:f>IF(B25="","",SUMIFS('Calculs'!$N$7:$N$76,'Calculs'!$C$7:$C$76,B25)-IF('Dépositaire'!H25="ACHAT",-'Dépositaire'!I25*'Dépositaire'!J25-'Dépositaire'!K25,'Dépositaire'!I25*'Dépositaire'!J25-'Dépositaire'!K25))</x:f>
        <x:v>0</x:v>
      </x:c>
      <x:c r="L25" s="30" t="n">
        <x:f>IF(B25="",0,IF(AND(C25&lt;='Pilotage'!$C$6,E25&lt;='Pilotage'!$C$6,OR(F25=0,F25&gt;'Pilotage'!$C$6)),1,0))</x:f>
        <x:v>0</x:v>
      </x:c>
      <x:c r="M25" s="37" t="str">
        <x:f>IF(OR(B25="",C25&gt;'Pilotage'!$C$6),"",IF(G25=0,"Opération absente",IF(G25&gt;1,"Doublon",IF(COUNTIFS('Calculs'!$C$7:$C$76,B25,'Calculs'!$G$7:$G$76,D25,'Calculs'!$H$7:$H$76,'Dépositaire'!H25,'Calculs'!$L$7:$L$76,1)&lt;&gt;1,"Référence incorrecte",IF(J25&lt;&gt;0,"Quantité incorrecte",IF(ABS(K25)&gt;'Pilotage'!$C$11,"Montant incorrect",IF(SUMIFS('Calculs'!$E$7:$E$76,'Calculs'!$C$7:$C$76,B25,'Calculs'!$L$7:$L$76,1)&lt;&gt;E25,"Date prévue incorrecte",IF(L25=1,"Règlement en retard","OK"))))))))</x:f>
        <x:v>OK</x:v>
      </x:c>
      <x:c r="N25" s="30"/>
      <x:c r="O25" s="30"/>
      <x:c r="P25" s="30"/>
      <x:c r="Q25" s="30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0" customHeight="1">
      <x:c r="A26" s="2"/>
      <x:c r="B26" s="30" t="str">
        <x:f>IF('Dépositaire'!C26="","",'Dépositaire'!C26)</x:f>
        <x:v>TR-020</x:v>
      </x:c>
      <x:c r="C26" s="36" t="n">
        <x:f>IF(B26="","",'Dépositaire'!D26)</x:f>
        <x:v>46287</x:v>
      </x:c>
      <x:c r="D26" s="30" t="str">
        <x:f>IF(B26="","",'Dépositaire'!G26)</x:f>
        <x:v>FR0000120321</x:v>
      </x:c>
      <x:c r="E26" s="36" t="n">
        <x:f>IF(B26="","",'Dépositaire'!E26)</x:f>
        <x:v>46289</x:v>
      </x:c>
      <x:c r="F26" s="36" t="n">
        <x:f>IF(B26="","",'Dépositaire'!F26)</x:f>
        <x:v>46289</x:v>
      </x:c>
      <x:c r="G26" s="30" t="n">
        <x:f>IF(B26="","",COUNTIFS('Calculs'!$C$7:$C$76,B26,'Calculs'!$L$7:$L$76,1))</x:f>
        <x:v>1</x:v>
      </x:c>
      <x:c r="H26" s="30" t="n">
        <x:f>IF(B26="","",'Dépositaire'!I26)</x:f>
        <x:v>20</x:v>
      </x:c>
      <x:c r="I26" s="30" t="n">
        <x:f>IF(B26="","",SUMIFS('Calculs'!$I$7:$I$76,'Calculs'!$C$7:$C$76,B26,'Calculs'!$L$7:$L$76,1))</x:f>
        <x:v>20</x:v>
      </x:c>
      <x:c r="J26" s="30" t="n">
        <x:f>IF(B26="","",I26-H26)</x:f>
        <x:v>0</x:v>
      </x:c>
      <x:c r="K26" s="32" t="n">
        <x:f>IF(B26="","",SUMIFS('Calculs'!$N$7:$N$76,'Calculs'!$C$7:$C$76,B26)-IF('Dépositaire'!H26="ACHAT",-'Dépositaire'!I26*'Dépositaire'!J26-'Dépositaire'!K26,'Dépositaire'!I26*'Dépositaire'!J26-'Dépositaire'!K26))</x:f>
        <x:v>0</x:v>
      </x:c>
      <x:c r="L26" s="30" t="n">
        <x:f>IF(B26="",0,IF(AND(C26&lt;='Pilotage'!$C$6,E26&lt;='Pilotage'!$C$6,OR(F26=0,F26&gt;'Pilotage'!$C$6)),1,0))</x:f>
        <x:v>0</x:v>
      </x:c>
      <x:c r="M26" s="37" t="str">
        <x:f>IF(OR(B26="",C26&gt;'Pilotage'!$C$6),"",IF(G26=0,"Opération absente",IF(G26&gt;1,"Doublon",IF(COUNTIFS('Calculs'!$C$7:$C$76,B26,'Calculs'!$G$7:$G$76,D26,'Calculs'!$H$7:$H$76,'Dépositaire'!H26,'Calculs'!$L$7:$L$76,1)&lt;&gt;1,"Référence incorrecte",IF(J26&lt;&gt;0,"Quantité incorrecte",IF(ABS(K26)&gt;'Pilotage'!$C$11,"Montant incorrect",IF(SUMIFS('Calculs'!$E$7:$E$76,'Calculs'!$C$7:$C$76,B26,'Calculs'!$L$7:$L$76,1)&lt;&gt;E26,"Date prévue incorrecte",IF(L26=1,"Règlement en retard","OK"))))))))</x:f>
        <x:v>OK</x:v>
      </x:c>
      <x:c r="N26" s="30"/>
      <x:c r="O26" s="30"/>
      <x:c r="P26" s="30"/>
      <x:c r="Q26" s="30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0" customHeight="1">
      <x:c r="A27" s="2"/>
      <x:c r="B27" s="30" t="str">
        <x:f>IF('Dépositaire'!C27="","",'Dépositaire'!C27)</x:f>
        <x:v>TR-021</x:v>
      </x:c>
      <x:c r="C27" s="36" t="n">
        <x:f>IF(B27="","",'Dépositaire'!D27)</x:f>
        <x:v>46288</x:v>
      </x:c>
      <x:c r="D27" s="30" t="str">
        <x:f>IF(B27="","",'Dépositaire'!G27)</x:f>
        <x:v>FR0000120073</x:v>
      </x:c>
      <x:c r="E27" s="36" t="n">
        <x:f>IF(B27="","",'Dépositaire'!E27)</x:f>
        <x:v>46290</x:v>
      </x:c>
      <x:c r="F27" s="36" t="n">
        <x:f>IF(B27="","",'Dépositaire'!F27)</x:f>
        <x:v>46290</x:v>
      </x:c>
      <x:c r="G27" s="30" t="n">
        <x:f>IF(B27="","",COUNTIFS('Calculs'!$C$7:$C$76,B27,'Calculs'!$L$7:$L$76,1))</x:f>
        <x:v>1</x:v>
      </x:c>
      <x:c r="H27" s="30" t="n">
        <x:f>IF(B27="","",'Dépositaire'!I27)</x:f>
        <x:v>30</x:v>
      </x:c>
      <x:c r="I27" s="30" t="n">
        <x:f>IF(B27="","",SUMIFS('Calculs'!$I$7:$I$76,'Calculs'!$C$7:$C$76,B27,'Calculs'!$L$7:$L$76,1))</x:f>
        <x:v>30</x:v>
      </x:c>
      <x:c r="J27" s="30" t="n">
        <x:f>IF(B27="","",I27-H27)</x:f>
        <x:v>0</x:v>
      </x:c>
      <x:c r="K27" s="32" t="n">
        <x:f>IF(B27="","",SUMIFS('Calculs'!$N$7:$N$76,'Calculs'!$C$7:$C$76,B27)-IF('Dépositaire'!H27="ACHAT",-'Dépositaire'!I27*'Dépositaire'!J27-'Dépositaire'!K27,'Dépositaire'!I27*'Dépositaire'!J27-'Dépositaire'!K27))</x:f>
        <x:v>0</x:v>
      </x:c>
      <x:c r="L27" s="30" t="n">
        <x:f>IF(B27="",0,IF(AND(C27&lt;='Pilotage'!$C$6,E27&lt;='Pilotage'!$C$6,OR(F27=0,F27&gt;'Pilotage'!$C$6)),1,0))</x:f>
        <x:v>0</x:v>
      </x:c>
      <x:c r="M27" s="37" t="str">
        <x:f>IF(OR(B27="",C27&gt;'Pilotage'!$C$6),"",IF(G27=0,"Opération absente",IF(G27&gt;1,"Doublon",IF(COUNTIFS('Calculs'!$C$7:$C$76,B27,'Calculs'!$G$7:$G$76,D27,'Calculs'!$H$7:$H$76,'Dépositaire'!H27,'Calculs'!$L$7:$L$76,1)&lt;&gt;1,"Référence incorrecte",IF(J27&lt;&gt;0,"Quantité incorrecte",IF(ABS(K27)&gt;'Pilotage'!$C$11,"Montant incorrect",IF(SUMIFS('Calculs'!$E$7:$E$76,'Calculs'!$C$7:$C$76,B27,'Calculs'!$L$7:$L$76,1)&lt;&gt;E27,"Date prévue incorrecte",IF(L27=1,"Règlement en retard","OK"))))))))</x:f>
        <x:v>OK</x:v>
      </x:c>
      <x:c r="N27" s="30"/>
      <x:c r="O27" s="30"/>
      <x:c r="P27" s="30"/>
      <x:c r="Q27" s="30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30" t="str">
        <x:f>IF('Dépositaire'!C28="","",'Dépositaire'!C28)</x:f>
        <x:v>TR-022</x:v>
      </x:c>
      <x:c r="C28" s="36" t="n">
        <x:f>IF(B28="","",'Dépositaire'!D28)</x:f>
        <x:v>46288</x:v>
      </x:c>
      <x:c r="D28" s="30" t="str">
        <x:f>IF(B28="","",'Dépositaire'!G28)</x:f>
        <x:v>FR0000120644</x:v>
      </x:c>
      <x:c r="E28" s="36" t="n">
        <x:f>IF(B28="","",'Dépositaire'!E28)</x:f>
        <x:v>46290</x:v>
      </x:c>
      <x:c r="F28" s="36" t="n">
        <x:f>IF(B28="","",'Dépositaire'!F28)</x:f>
        <x:v>46290</x:v>
      </x:c>
      <x:c r="G28" s="30" t="n">
        <x:f>IF(B28="","",COUNTIFS('Calculs'!$C$7:$C$76,B28,'Calculs'!$L$7:$L$76,1))</x:f>
        <x:v>1</x:v>
      </x:c>
      <x:c r="H28" s="30" t="n">
        <x:f>IF(B28="","",'Dépositaire'!I28)</x:f>
        <x:v>75</x:v>
      </x:c>
      <x:c r="I28" s="30" t="n">
        <x:f>IF(B28="","",SUMIFS('Calculs'!$I$7:$I$76,'Calculs'!$C$7:$C$76,B28,'Calculs'!$L$7:$L$76,1))</x:f>
        <x:v>75</x:v>
      </x:c>
      <x:c r="J28" s="30" t="n">
        <x:f>IF(B28="","",I28-H28)</x:f>
        <x:v>0</x:v>
      </x:c>
      <x:c r="K28" s="32" t="n">
        <x:f>IF(B28="","",SUMIFS('Calculs'!$N$7:$N$76,'Calculs'!$C$7:$C$76,B28)-IF('Dépositaire'!H28="ACHAT",-'Dépositaire'!I28*'Dépositaire'!J28-'Dépositaire'!K28,'Dépositaire'!I28*'Dépositaire'!J28-'Dépositaire'!K28))</x:f>
        <x:v>0</x:v>
      </x:c>
      <x:c r="L28" s="30" t="n">
        <x:f>IF(B28="",0,IF(AND(C28&lt;='Pilotage'!$C$6,E28&lt;='Pilotage'!$C$6,OR(F28=0,F28&gt;'Pilotage'!$C$6)),1,0))</x:f>
        <x:v>0</x:v>
      </x:c>
      <x:c r="M28" s="37" t="str">
        <x:f>IF(OR(B28="",C28&gt;'Pilotage'!$C$6),"",IF(G28=0,"Opération absente",IF(G28&gt;1,"Doublon",IF(COUNTIFS('Calculs'!$C$7:$C$76,B28,'Calculs'!$G$7:$G$76,D28,'Calculs'!$H$7:$H$76,'Dépositaire'!H28,'Calculs'!$L$7:$L$76,1)&lt;&gt;1,"Référence incorrecte",IF(J28&lt;&gt;0,"Quantité incorrecte",IF(ABS(K28)&gt;'Pilotage'!$C$11,"Montant incorrect",IF(SUMIFS('Calculs'!$E$7:$E$76,'Calculs'!$C$7:$C$76,B28,'Calculs'!$L$7:$L$76,1)&lt;&gt;E28,"Date prévue incorrecte",IF(L28=1,"Règlement en retard","OK"))))))))</x:f>
        <x:v>OK</x:v>
      </x:c>
      <x:c r="N28" s="30"/>
      <x:c r="O28" s="30"/>
      <x:c r="P28" s="30"/>
      <x:c r="Q28" s="30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30" t="str">
        <x:f>IF('Dépositaire'!C29="","",'Dépositaire'!C29)</x:f>
        <x:v>TR-023</x:v>
      </x:c>
      <x:c r="C29" s="36" t="n">
        <x:f>IF(B29="","",'Dépositaire'!D29)</x:f>
        <x:v>46289</x:v>
      </x:c>
      <x:c r="D29" s="30" t="str">
        <x:f>IF(B29="","",'Dépositaire'!G29)</x:f>
        <x:v>FR0000121972</x:v>
      </x:c>
      <x:c r="E29" s="36" t="n">
        <x:f>IF(B29="","",'Dépositaire'!E29)</x:f>
        <x:v>46293</x:v>
      </x:c>
      <x:c r="F29" s="36" t="n">
        <x:f>IF(B29="","",'Dépositaire'!F29)</x:f>
        <x:v>46293</x:v>
      </x:c>
      <x:c r="G29" s="30" t="n">
        <x:f>IF(B29="","",COUNTIFS('Calculs'!$C$7:$C$76,B29,'Calculs'!$L$7:$L$76,1))</x:f>
        <x:v>1</x:v>
      </x:c>
      <x:c r="H29" s="30" t="n">
        <x:f>IF(B29="","",'Dépositaire'!I29)</x:f>
        <x:v>25</x:v>
      </x:c>
      <x:c r="I29" s="30" t="n">
        <x:f>IF(B29="","",SUMIFS('Calculs'!$I$7:$I$76,'Calculs'!$C$7:$C$76,B29,'Calculs'!$L$7:$L$76,1))</x:f>
        <x:v>25</x:v>
      </x:c>
      <x:c r="J29" s="30" t="n">
        <x:f>IF(B29="","",I29-H29)</x:f>
        <x:v>0</x:v>
      </x:c>
      <x:c r="K29" s="32" t="n">
        <x:f>IF(B29="","",SUMIFS('Calculs'!$N$7:$N$76,'Calculs'!$C$7:$C$76,B29)-IF('Dépositaire'!H29="ACHAT",-'Dépositaire'!I29*'Dépositaire'!J29-'Dépositaire'!K29,'Dépositaire'!I29*'Dépositaire'!J29-'Dépositaire'!K29))</x:f>
        <x:v>0</x:v>
      </x:c>
      <x:c r="L29" s="30" t="n">
        <x:f>IF(B29="",0,IF(AND(C29&lt;='Pilotage'!$C$6,E29&lt;='Pilotage'!$C$6,OR(F29=0,F29&gt;'Pilotage'!$C$6)),1,0))</x:f>
        <x:v>0</x:v>
      </x:c>
      <x:c r="M29" s="37" t="str">
        <x:f>IF(OR(B29="",C29&gt;'Pilotage'!$C$6),"",IF(G29=0,"Opération absente",IF(G29&gt;1,"Doublon",IF(COUNTIFS('Calculs'!$C$7:$C$76,B29,'Calculs'!$G$7:$G$76,D29,'Calculs'!$H$7:$H$76,'Dépositaire'!H29,'Calculs'!$L$7:$L$76,1)&lt;&gt;1,"Référence incorrecte",IF(J29&lt;&gt;0,"Quantité incorrecte",IF(ABS(K29)&gt;'Pilotage'!$C$11,"Montant incorrect",IF(SUMIFS('Calculs'!$E$7:$E$76,'Calculs'!$C$7:$C$76,B29,'Calculs'!$L$7:$L$76,1)&lt;&gt;E29,"Date prévue incorrecte",IF(L29=1,"Règlement en retard","OK"))))))))</x:f>
        <x:v>OK</x:v>
      </x:c>
      <x:c r="N29" s="30"/>
      <x:c r="O29" s="30"/>
      <x:c r="P29" s="30"/>
      <x:c r="Q29" s="30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0" customHeight="1">
      <x:c r="A30" s="2"/>
      <x:c r="B30" s="30" t="str">
        <x:f>IF('Dépositaire'!C30="","",'Dépositaire'!C30)</x:f>
        <x:v>TR-024</x:v>
      </x:c>
      <x:c r="C30" s="36" t="n">
        <x:f>IF(B30="","",'Dépositaire'!D30)</x:f>
        <x:v>46289</x:v>
      </x:c>
      <x:c r="D30" s="30" t="str">
        <x:f>IF(B30="","",'Dépositaire'!G30)</x:f>
        <x:v>FR0000125486</x:v>
      </x:c>
      <x:c r="E30" s="36" t="n">
        <x:f>IF(B30="","",'Dépositaire'!E30)</x:f>
        <x:v>46293</x:v>
      </x:c>
      <x:c r="F30" s="36" t="n">
        <x:f>IF(B30="","",'Dépositaire'!F30)</x:f>
        <x:v>46293</x:v>
      </x:c>
      <x:c r="G30" s="30" t="n">
        <x:f>IF(B30="","",COUNTIFS('Calculs'!$C$7:$C$76,B30,'Calculs'!$L$7:$L$76,1))</x:f>
        <x:v>1</x:v>
      </x:c>
      <x:c r="H30" s="30" t="n">
        <x:f>IF(B30="","",'Dépositaire'!I30)</x:f>
        <x:v>80</x:v>
      </x:c>
      <x:c r="I30" s="30" t="n">
        <x:f>IF(B30="","",SUMIFS('Calculs'!$I$7:$I$76,'Calculs'!$C$7:$C$76,B30,'Calculs'!$L$7:$L$76,1))</x:f>
        <x:v>80</x:v>
      </x:c>
      <x:c r="J30" s="30" t="n">
        <x:f>IF(B30="","",I30-H30)</x:f>
        <x:v>0</x:v>
      </x:c>
      <x:c r="K30" s="32" t="n">
        <x:f>IF(B30="","",SUMIFS('Calculs'!$N$7:$N$76,'Calculs'!$C$7:$C$76,B30)-IF('Dépositaire'!H30="ACHAT",-'Dépositaire'!I30*'Dépositaire'!J30-'Dépositaire'!K30,'Dépositaire'!I30*'Dépositaire'!J30-'Dépositaire'!K30))</x:f>
        <x:v>0</x:v>
      </x:c>
      <x:c r="L30" s="30" t="n">
        <x:f>IF(B30="",0,IF(AND(C30&lt;='Pilotage'!$C$6,E30&lt;='Pilotage'!$C$6,OR(F30=0,F30&gt;'Pilotage'!$C$6)),1,0))</x:f>
        <x:v>0</x:v>
      </x:c>
      <x:c r="M30" s="37" t="str">
        <x:f>IF(OR(B30="",C30&gt;'Pilotage'!$C$6),"",IF(G30=0,"Opération absente",IF(G30&gt;1,"Doublon",IF(COUNTIFS('Calculs'!$C$7:$C$76,B30,'Calculs'!$G$7:$G$76,D30,'Calculs'!$H$7:$H$76,'Dépositaire'!H30,'Calculs'!$L$7:$L$76,1)&lt;&gt;1,"Référence incorrecte",IF(J30&lt;&gt;0,"Quantité incorrecte",IF(ABS(K30)&gt;'Pilotage'!$C$11,"Montant incorrect",IF(SUMIFS('Calculs'!$E$7:$E$76,'Calculs'!$C$7:$C$76,B30,'Calculs'!$L$7:$L$76,1)&lt;&gt;E30,"Date prévue incorrecte",IF(L30=1,"Règlement en retard","OK"))))))))</x:f>
        <x:v>OK</x:v>
      </x:c>
      <x:c r="N30" s="30"/>
      <x:c r="O30" s="30"/>
      <x:c r="P30" s="30"/>
      <x:c r="Q30" s="30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30" t="str">
        <x:f>IF('Dépositaire'!C31="","",'Dépositaire'!C31)</x:f>
        <x:v>TR-025</x:v>
      </x:c>
      <x:c r="C31" s="36" t="n">
        <x:f>IF(B31="","",'Dépositaire'!D31)</x:f>
        <x:v>46290</x:v>
      </x:c>
      <x:c r="D31" s="30" t="str">
        <x:f>IF(B31="","",'Dépositaire'!G31)</x:f>
        <x:v>FR0000120321</x:v>
      </x:c>
      <x:c r="E31" s="36" t="n">
        <x:f>IF(B31="","",'Dépositaire'!E31)</x:f>
        <x:v>46294</x:v>
      </x:c>
      <x:c r="F31" s="36" t="n">
        <x:f>IF(B31="","",'Dépositaire'!F31)</x:f>
        <x:v>46294</x:v>
      </x:c>
      <x:c r="G31" s="30" t="n">
        <x:f>IF(B31="","",COUNTIFS('Calculs'!$C$7:$C$76,B31,'Calculs'!$L$7:$L$76,1))</x:f>
        <x:v>1</x:v>
      </x:c>
      <x:c r="H31" s="30" t="n">
        <x:f>IF(B31="","",'Dépositaire'!I31)</x:f>
        <x:v>15</x:v>
      </x:c>
      <x:c r="I31" s="30" t="n">
        <x:f>IF(B31="","",SUMIFS('Calculs'!$I$7:$I$76,'Calculs'!$C$7:$C$76,B31,'Calculs'!$L$7:$L$76,1))</x:f>
        <x:v>15</x:v>
      </x:c>
      <x:c r="J31" s="30" t="n">
        <x:f>IF(B31="","",I31-H31)</x:f>
        <x:v>0</x:v>
      </x:c>
      <x:c r="K31" s="32" t="n">
        <x:f>IF(B31="","",SUMIFS('Calculs'!$N$7:$N$76,'Calculs'!$C$7:$C$76,B31)-IF('Dépositaire'!H31="ACHAT",-'Dépositaire'!I31*'Dépositaire'!J31-'Dépositaire'!K31,'Dépositaire'!I31*'Dépositaire'!J31-'Dépositaire'!K31))</x:f>
        <x:v>0</x:v>
      </x:c>
      <x:c r="L31" s="30" t="n">
        <x:f>IF(B31="",0,IF(AND(C31&lt;='Pilotage'!$C$6,E31&lt;='Pilotage'!$C$6,OR(F31=0,F31&gt;'Pilotage'!$C$6)),1,0))</x:f>
        <x:v>0</x:v>
      </x:c>
      <x:c r="M31" s="37" t="str">
        <x:f>IF(OR(B31="",C31&gt;'Pilotage'!$C$6),"",IF(G31=0,"Opération absente",IF(G31&gt;1,"Doublon",IF(COUNTIFS('Calculs'!$C$7:$C$76,B31,'Calculs'!$G$7:$G$76,D31,'Calculs'!$H$7:$H$76,'Dépositaire'!H31,'Calculs'!$L$7:$L$76,1)&lt;&gt;1,"Référence incorrecte",IF(J31&lt;&gt;0,"Quantité incorrecte",IF(ABS(K31)&gt;'Pilotage'!$C$11,"Montant incorrect",IF(SUMIFS('Calculs'!$E$7:$E$76,'Calculs'!$C$7:$C$76,B31,'Calculs'!$L$7:$L$76,1)&lt;&gt;E31,"Date prévue incorrecte",IF(L31=1,"Règlement en retard","OK"))))))))</x:f>
        <x:v>OK</x:v>
      </x:c>
      <x:c r="N31" s="30"/>
      <x:c r="O31" s="30"/>
      <x:c r="P31" s="30"/>
      <x:c r="Q31" s="30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0" customHeight="1">
      <x:c r="A32" s="2"/>
      <x:c r="B32" s="30" t="str">
        <x:f>IF('Dépositaire'!C32="","",'Dépositaire'!C32)</x:f>
      </x:c>
      <x:c r="C32" s="36" t="str">
        <x:f>IF(B32="","",'Dépositaire'!D32)</x:f>
      </x:c>
      <x:c r="D32" s="30" t="str">
        <x:f>IF(B32="","",'Dépositaire'!G32)</x:f>
      </x:c>
      <x:c r="E32" s="36" t="str">
        <x:f>IF(B32="","",'Dépositaire'!E32)</x:f>
      </x:c>
      <x:c r="F32" s="36" t="str">
        <x:f>IF(B32="","",'Dépositaire'!F32)</x:f>
      </x:c>
      <x:c r="G32" s="30" t="str">
        <x:f>IF(B32="","",COUNTIFS('Calculs'!$C$7:$C$76,B32,'Calculs'!$L$7:$L$76,1))</x:f>
      </x:c>
      <x:c r="H32" s="30" t="str">
        <x:f>IF(B32="","",'Dépositaire'!I32)</x:f>
      </x:c>
      <x:c r="I32" s="30" t="str">
        <x:f>IF(B32="","",SUMIFS('Calculs'!$I$7:$I$76,'Calculs'!$C$7:$C$76,B32,'Calculs'!$L$7:$L$76,1))</x:f>
      </x:c>
      <x:c r="J32" s="30" t="str">
        <x:f>IF(B32="","",I32-H32)</x:f>
      </x:c>
      <x:c r="K32" s="32" t="str">
        <x:f>IF(B32="","",SUMIFS('Calculs'!$N$7:$N$76,'Calculs'!$C$7:$C$76,B32)-IF('Dépositaire'!H32="ACHAT",-'Dépositaire'!I32*'Dépositaire'!J32-'Dépositaire'!K32,'Dépositaire'!I32*'Dépositaire'!J32-'Dépositaire'!K32))</x:f>
      </x:c>
      <x:c r="L32" s="30" t="n">
        <x:f>IF(B32="",0,IF(AND(C32&lt;='Pilotage'!$C$6,E32&lt;='Pilotage'!$C$6,OR(F32=0,F32&gt;'Pilotage'!$C$6)),1,0))</x:f>
        <x:v>0</x:v>
      </x:c>
      <x:c r="M32" s="37" t="str">
        <x:f>IF(OR(B32="",C32&gt;'Pilotage'!$C$6),"",IF(G32=0,"Opération absente",IF(G32&gt;1,"Doublon",IF(COUNTIFS('Calculs'!$C$7:$C$76,B32,'Calculs'!$G$7:$G$76,D32,'Calculs'!$H$7:$H$76,'Dépositaire'!H32,'Calculs'!$L$7:$L$76,1)&lt;&gt;1,"Référence incorrecte",IF(J32&lt;&gt;0,"Quantité incorrecte",IF(ABS(K32)&gt;'Pilotage'!$C$11,"Montant incorrect",IF(SUMIFS('Calculs'!$E$7:$E$76,'Calculs'!$C$7:$C$76,B32,'Calculs'!$L$7:$L$76,1)&lt;&gt;E32,"Date prévue incorrecte",IF(L32=1,"Règlement en retard","OK"))))))))</x:f>
      </x:c>
      <x:c r="N32" s="30"/>
      <x:c r="O32" s="30"/>
      <x:c r="P32" s="30"/>
      <x:c r="Q32" s="30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30" t="str">
        <x:f>IF('Dépositaire'!C33="","",'Dépositaire'!C33)</x:f>
      </x:c>
      <x:c r="C33" s="36" t="str">
        <x:f>IF(B33="","",'Dépositaire'!D33)</x:f>
      </x:c>
      <x:c r="D33" s="30" t="str">
        <x:f>IF(B33="","",'Dépositaire'!G33)</x:f>
      </x:c>
      <x:c r="E33" s="36" t="str">
        <x:f>IF(B33="","",'Dépositaire'!E33)</x:f>
      </x:c>
      <x:c r="F33" s="36" t="str">
        <x:f>IF(B33="","",'Dépositaire'!F33)</x:f>
      </x:c>
      <x:c r="G33" s="30" t="str">
        <x:f>IF(B33="","",COUNTIFS('Calculs'!$C$7:$C$76,B33,'Calculs'!$L$7:$L$76,1))</x:f>
      </x:c>
      <x:c r="H33" s="30" t="str">
        <x:f>IF(B33="","",'Dépositaire'!I33)</x:f>
      </x:c>
      <x:c r="I33" s="30" t="str">
        <x:f>IF(B33="","",SUMIFS('Calculs'!$I$7:$I$76,'Calculs'!$C$7:$C$76,B33,'Calculs'!$L$7:$L$76,1))</x:f>
      </x:c>
      <x:c r="J33" s="30" t="str">
        <x:f>IF(B33="","",I33-H33)</x:f>
      </x:c>
      <x:c r="K33" s="32" t="str">
        <x:f>IF(B33="","",SUMIFS('Calculs'!$N$7:$N$76,'Calculs'!$C$7:$C$76,B33)-IF('Dépositaire'!H33="ACHAT",-'Dépositaire'!I33*'Dépositaire'!J33-'Dépositaire'!K33,'Dépositaire'!I33*'Dépositaire'!J33-'Dépositaire'!K33))</x:f>
      </x:c>
      <x:c r="L33" s="30" t="n">
        <x:f>IF(B33="",0,IF(AND(C33&lt;='Pilotage'!$C$6,E33&lt;='Pilotage'!$C$6,OR(F33=0,F33&gt;'Pilotage'!$C$6)),1,0))</x:f>
        <x:v>0</x:v>
      </x:c>
      <x:c r="M33" s="37" t="str">
        <x:f>IF(OR(B33="",C33&gt;'Pilotage'!$C$6),"",IF(G33=0,"Opération absente",IF(G33&gt;1,"Doublon",IF(COUNTIFS('Calculs'!$C$7:$C$76,B33,'Calculs'!$G$7:$G$76,D33,'Calculs'!$H$7:$H$76,'Dépositaire'!H33,'Calculs'!$L$7:$L$76,1)&lt;&gt;1,"Référence incorrecte",IF(J33&lt;&gt;0,"Quantité incorrecte",IF(ABS(K33)&gt;'Pilotage'!$C$11,"Montant incorrect",IF(SUMIFS('Calculs'!$E$7:$E$76,'Calculs'!$C$7:$C$76,B33,'Calculs'!$L$7:$L$76,1)&lt;&gt;E33,"Date prévue incorrecte",IF(L33=1,"Règlement en retard","OK"))))))))</x:f>
      </x:c>
      <x:c r="N33" s="30"/>
      <x:c r="O33" s="30"/>
      <x:c r="P33" s="30"/>
      <x:c r="Q33" s="30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30" t="str">
        <x:f>IF('Dépositaire'!C34="","",'Dépositaire'!C34)</x:f>
      </x:c>
      <x:c r="C34" s="36" t="str">
        <x:f>IF(B34="","",'Dépositaire'!D34)</x:f>
      </x:c>
      <x:c r="D34" s="30" t="str">
        <x:f>IF(B34="","",'Dépositaire'!G34)</x:f>
      </x:c>
      <x:c r="E34" s="36" t="str">
        <x:f>IF(B34="","",'Dépositaire'!E34)</x:f>
      </x:c>
      <x:c r="F34" s="36" t="str">
        <x:f>IF(B34="","",'Dépositaire'!F34)</x:f>
      </x:c>
      <x:c r="G34" s="30" t="str">
        <x:f>IF(B34="","",COUNTIFS('Calculs'!$C$7:$C$76,B34,'Calculs'!$L$7:$L$76,1))</x:f>
      </x:c>
      <x:c r="H34" s="30" t="str">
        <x:f>IF(B34="","",'Dépositaire'!I34)</x:f>
      </x:c>
      <x:c r="I34" s="30" t="str">
        <x:f>IF(B34="","",SUMIFS('Calculs'!$I$7:$I$76,'Calculs'!$C$7:$C$76,B34,'Calculs'!$L$7:$L$76,1))</x:f>
      </x:c>
      <x:c r="J34" s="30" t="str">
        <x:f>IF(B34="","",I34-H34)</x:f>
      </x:c>
      <x:c r="K34" s="32" t="str">
        <x:f>IF(B34="","",SUMIFS('Calculs'!$N$7:$N$76,'Calculs'!$C$7:$C$76,B34)-IF('Dépositaire'!H34="ACHAT",-'Dépositaire'!I34*'Dépositaire'!J34-'Dépositaire'!K34,'Dépositaire'!I34*'Dépositaire'!J34-'Dépositaire'!K34))</x:f>
      </x:c>
      <x:c r="L34" s="30" t="n">
        <x:f>IF(B34="",0,IF(AND(C34&lt;='Pilotage'!$C$6,E34&lt;='Pilotage'!$C$6,OR(F34=0,F34&gt;'Pilotage'!$C$6)),1,0))</x:f>
        <x:v>0</x:v>
      </x:c>
      <x:c r="M34" s="37" t="str">
        <x:f>IF(OR(B34="",C34&gt;'Pilotage'!$C$6),"",IF(G34=0,"Opération absente",IF(G34&gt;1,"Doublon",IF(COUNTIFS('Calculs'!$C$7:$C$76,B34,'Calculs'!$G$7:$G$76,D34,'Calculs'!$H$7:$H$76,'Dépositaire'!H34,'Calculs'!$L$7:$L$76,1)&lt;&gt;1,"Référence incorrecte",IF(J34&lt;&gt;0,"Quantité incorrecte",IF(ABS(K34)&gt;'Pilotage'!$C$11,"Montant incorrect",IF(SUMIFS('Calculs'!$E$7:$E$76,'Calculs'!$C$7:$C$76,B34,'Calculs'!$L$7:$L$76,1)&lt;&gt;E34,"Date prévue incorrecte",IF(L34=1,"Règlement en retard","OK"))))))))</x:f>
      </x:c>
      <x:c r="N34" s="30"/>
      <x:c r="O34" s="30"/>
      <x:c r="P34" s="30"/>
      <x:c r="Q34" s="30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30" t="str">
        <x:f>IF('Dépositaire'!C35="","",'Dépositaire'!C35)</x:f>
      </x:c>
      <x:c r="C35" s="36" t="str">
        <x:f>IF(B35="","",'Dépositaire'!D35)</x:f>
      </x:c>
      <x:c r="D35" s="30" t="str">
        <x:f>IF(B35="","",'Dépositaire'!G35)</x:f>
      </x:c>
      <x:c r="E35" s="36" t="str">
        <x:f>IF(B35="","",'Dépositaire'!E35)</x:f>
      </x:c>
      <x:c r="F35" s="36" t="str">
        <x:f>IF(B35="","",'Dépositaire'!F35)</x:f>
      </x:c>
      <x:c r="G35" s="30" t="str">
        <x:f>IF(B35="","",COUNTIFS('Calculs'!$C$7:$C$76,B35,'Calculs'!$L$7:$L$76,1))</x:f>
      </x:c>
      <x:c r="H35" s="30" t="str">
        <x:f>IF(B35="","",'Dépositaire'!I35)</x:f>
      </x:c>
      <x:c r="I35" s="30" t="str">
        <x:f>IF(B35="","",SUMIFS('Calculs'!$I$7:$I$76,'Calculs'!$C$7:$C$76,B35,'Calculs'!$L$7:$L$76,1))</x:f>
      </x:c>
      <x:c r="J35" s="30" t="str">
        <x:f>IF(B35="","",I35-H35)</x:f>
      </x:c>
      <x:c r="K35" s="32" t="str">
        <x:f>IF(B35="","",SUMIFS('Calculs'!$N$7:$N$76,'Calculs'!$C$7:$C$76,B35)-IF('Dépositaire'!H35="ACHAT",-'Dépositaire'!I35*'Dépositaire'!J35-'Dépositaire'!K35,'Dépositaire'!I35*'Dépositaire'!J35-'Dépositaire'!K35))</x:f>
      </x:c>
      <x:c r="L35" s="30" t="n">
        <x:f>IF(B35="",0,IF(AND(C35&lt;='Pilotage'!$C$6,E35&lt;='Pilotage'!$C$6,OR(F35=0,F35&gt;'Pilotage'!$C$6)),1,0))</x:f>
        <x:v>0</x:v>
      </x:c>
      <x:c r="M35" s="37" t="str">
        <x:f>IF(OR(B35="",C35&gt;'Pilotage'!$C$6),"",IF(G35=0,"Opération absente",IF(G35&gt;1,"Doublon",IF(COUNTIFS('Calculs'!$C$7:$C$76,B35,'Calculs'!$G$7:$G$76,D35,'Calculs'!$H$7:$H$76,'Dépositaire'!H35,'Calculs'!$L$7:$L$76,1)&lt;&gt;1,"Référence incorrecte",IF(J35&lt;&gt;0,"Quantité incorrecte",IF(ABS(K35)&gt;'Pilotage'!$C$11,"Montant incorrect",IF(SUMIFS('Calculs'!$E$7:$E$76,'Calculs'!$C$7:$C$76,B35,'Calculs'!$L$7:$L$76,1)&lt;&gt;E35,"Date prévue incorrecte",IF(L35=1,"Règlement en retard","OK"))))))))</x:f>
      </x:c>
      <x:c r="N35" s="30"/>
      <x:c r="O35" s="30"/>
      <x:c r="P35" s="30"/>
      <x:c r="Q35" s="30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30" t="str">
        <x:f>IF('Dépositaire'!C36="","",'Dépositaire'!C36)</x:f>
      </x:c>
      <x:c r="C36" s="36" t="str">
        <x:f>IF(B36="","",'Dépositaire'!D36)</x:f>
      </x:c>
      <x:c r="D36" s="30" t="str">
        <x:f>IF(B36="","",'Dépositaire'!G36)</x:f>
      </x:c>
      <x:c r="E36" s="36" t="str">
        <x:f>IF(B36="","",'Dépositaire'!E36)</x:f>
      </x:c>
      <x:c r="F36" s="36" t="str">
        <x:f>IF(B36="","",'Dépositaire'!F36)</x:f>
      </x:c>
      <x:c r="G36" s="30" t="str">
        <x:f>IF(B36="","",COUNTIFS('Calculs'!$C$7:$C$76,B36,'Calculs'!$L$7:$L$76,1))</x:f>
      </x:c>
      <x:c r="H36" s="30" t="str">
        <x:f>IF(B36="","",'Dépositaire'!I36)</x:f>
      </x:c>
      <x:c r="I36" s="30" t="str">
        <x:f>IF(B36="","",SUMIFS('Calculs'!$I$7:$I$76,'Calculs'!$C$7:$C$76,B36,'Calculs'!$L$7:$L$76,1))</x:f>
      </x:c>
      <x:c r="J36" s="30" t="str">
        <x:f>IF(B36="","",I36-H36)</x:f>
      </x:c>
      <x:c r="K36" s="32" t="str">
        <x:f>IF(B36="","",SUMIFS('Calculs'!$N$7:$N$76,'Calculs'!$C$7:$C$76,B36)-IF('Dépositaire'!H36="ACHAT",-'Dépositaire'!I36*'Dépositaire'!J36-'Dépositaire'!K36,'Dépositaire'!I36*'Dépositaire'!J36-'Dépositaire'!K36))</x:f>
      </x:c>
      <x:c r="L36" s="30" t="n">
        <x:f>IF(B36="",0,IF(AND(C36&lt;='Pilotage'!$C$6,E36&lt;='Pilotage'!$C$6,OR(F36=0,F36&gt;'Pilotage'!$C$6)),1,0))</x:f>
        <x:v>0</x:v>
      </x:c>
      <x:c r="M36" s="37" t="str">
        <x:f>IF(OR(B36="",C36&gt;'Pilotage'!$C$6),"",IF(G36=0,"Opération absente",IF(G36&gt;1,"Doublon",IF(COUNTIFS('Calculs'!$C$7:$C$76,B36,'Calculs'!$G$7:$G$76,D36,'Calculs'!$H$7:$H$76,'Dépositaire'!H36,'Calculs'!$L$7:$L$76,1)&lt;&gt;1,"Référence incorrecte",IF(J36&lt;&gt;0,"Quantité incorrecte",IF(ABS(K36)&gt;'Pilotage'!$C$11,"Montant incorrect",IF(SUMIFS('Calculs'!$E$7:$E$76,'Calculs'!$C$7:$C$76,B36,'Calculs'!$L$7:$L$76,1)&lt;&gt;E36,"Date prévue incorrecte",IF(L36=1,"Règlement en retard","OK"))))))))</x:f>
      </x:c>
      <x:c r="N36" s="30"/>
      <x:c r="O36" s="30"/>
      <x:c r="P36" s="30"/>
      <x:c r="Q36" s="30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30" t="str">
        <x:f>IF('Dépositaire'!C37="","",'Dépositaire'!C37)</x:f>
      </x:c>
      <x:c r="C37" s="36" t="str">
        <x:f>IF(B37="","",'Dépositaire'!D37)</x:f>
      </x:c>
      <x:c r="D37" s="30" t="str">
        <x:f>IF(B37="","",'Dépositaire'!G37)</x:f>
      </x:c>
      <x:c r="E37" s="36" t="str">
        <x:f>IF(B37="","",'Dépositaire'!E37)</x:f>
      </x:c>
      <x:c r="F37" s="36" t="str">
        <x:f>IF(B37="","",'Dépositaire'!F37)</x:f>
      </x:c>
      <x:c r="G37" s="30" t="str">
        <x:f>IF(B37="","",COUNTIFS('Calculs'!$C$7:$C$76,B37,'Calculs'!$L$7:$L$76,1))</x:f>
      </x:c>
      <x:c r="H37" s="30" t="str">
        <x:f>IF(B37="","",'Dépositaire'!I37)</x:f>
      </x:c>
      <x:c r="I37" s="30" t="str">
        <x:f>IF(B37="","",SUMIFS('Calculs'!$I$7:$I$76,'Calculs'!$C$7:$C$76,B37,'Calculs'!$L$7:$L$76,1))</x:f>
      </x:c>
      <x:c r="J37" s="30" t="str">
        <x:f>IF(B37="","",I37-H37)</x:f>
      </x:c>
      <x:c r="K37" s="32" t="str">
        <x:f>IF(B37="","",SUMIFS('Calculs'!$N$7:$N$76,'Calculs'!$C$7:$C$76,B37)-IF('Dépositaire'!H37="ACHAT",-'Dépositaire'!I37*'Dépositaire'!J37-'Dépositaire'!K37,'Dépositaire'!I37*'Dépositaire'!J37-'Dépositaire'!K37))</x:f>
      </x:c>
      <x:c r="L37" s="30" t="n">
        <x:f>IF(B37="",0,IF(AND(C37&lt;='Pilotage'!$C$6,E37&lt;='Pilotage'!$C$6,OR(F37=0,F37&gt;'Pilotage'!$C$6)),1,0))</x:f>
        <x:v>0</x:v>
      </x:c>
      <x:c r="M37" s="37" t="str">
        <x:f>IF(OR(B37="",C37&gt;'Pilotage'!$C$6),"",IF(G37=0,"Opération absente",IF(G37&gt;1,"Doublon",IF(COUNTIFS('Calculs'!$C$7:$C$76,B37,'Calculs'!$G$7:$G$76,D37,'Calculs'!$H$7:$H$76,'Dépositaire'!H37,'Calculs'!$L$7:$L$76,1)&lt;&gt;1,"Référence incorrecte",IF(J37&lt;&gt;0,"Quantité incorrecte",IF(ABS(K37)&gt;'Pilotage'!$C$11,"Montant incorrect",IF(SUMIFS('Calculs'!$E$7:$E$76,'Calculs'!$C$7:$C$76,B37,'Calculs'!$L$7:$L$76,1)&lt;&gt;E37,"Date prévue incorrecte",IF(L37=1,"Règlement en retard","OK"))))))))</x:f>
      </x:c>
      <x:c r="N37" s="30"/>
      <x:c r="O37" s="30"/>
      <x:c r="P37" s="30"/>
      <x:c r="Q37" s="30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30" t="str">
        <x:f>IF('Dépositaire'!C38="","",'Dépositaire'!C38)</x:f>
      </x:c>
      <x:c r="C38" s="36" t="str">
        <x:f>IF(B38="","",'Dépositaire'!D38)</x:f>
      </x:c>
      <x:c r="D38" s="30" t="str">
        <x:f>IF(B38="","",'Dépositaire'!G38)</x:f>
      </x:c>
      <x:c r="E38" s="36" t="str">
        <x:f>IF(B38="","",'Dépositaire'!E38)</x:f>
      </x:c>
      <x:c r="F38" s="36" t="str">
        <x:f>IF(B38="","",'Dépositaire'!F38)</x:f>
      </x:c>
      <x:c r="G38" s="30" t="str">
        <x:f>IF(B38="","",COUNTIFS('Calculs'!$C$7:$C$76,B38,'Calculs'!$L$7:$L$76,1))</x:f>
      </x:c>
      <x:c r="H38" s="30" t="str">
        <x:f>IF(B38="","",'Dépositaire'!I38)</x:f>
      </x:c>
      <x:c r="I38" s="30" t="str">
        <x:f>IF(B38="","",SUMIFS('Calculs'!$I$7:$I$76,'Calculs'!$C$7:$C$76,B38,'Calculs'!$L$7:$L$76,1))</x:f>
      </x:c>
      <x:c r="J38" s="30" t="str">
        <x:f>IF(B38="","",I38-H38)</x:f>
      </x:c>
      <x:c r="K38" s="32" t="str">
        <x:f>IF(B38="","",SUMIFS('Calculs'!$N$7:$N$76,'Calculs'!$C$7:$C$76,B38)-IF('Dépositaire'!H38="ACHAT",-'Dépositaire'!I38*'Dépositaire'!J38-'Dépositaire'!K38,'Dépositaire'!I38*'Dépositaire'!J38-'Dépositaire'!K38))</x:f>
      </x:c>
      <x:c r="L38" s="30" t="n">
        <x:f>IF(B38="",0,IF(AND(C38&lt;='Pilotage'!$C$6,E38&lt;='Pilotage'!$C$6,OR(F38=0,F38&gt;'Pilotage'!$C$6)),1,0))</x:f>
        <x:v>0</x:v>
      </x:c>
      <x:c r="M38" s="37" t="str">
        <x:f>IF(OR(B38="",C38&gt;'Pilotage'!$C$6),"",IF(G38=0,"Opération absente",IF(G38&gt;1,"Doublon",IF(COUNTIFS('Calculs'!$C$7:$C$76,B38,'Calculs'!$G$7:$G$76,D38,'Calculs'!$H$7:$H$76,'Dépositaire'!H38,'Calculs'!$L$7:$L$76,1)&lt;&gt;1,"Référence incorrecte",IF(J38&lt;&gt;0,"Quantité incorrecte",IF(ABS(K38)&gt;'Pilotage'!$C$11,"Montant incorrect",IF(SUMIFS('Calculs'!$E$7:$E$76,'Calculs'!$C$7:$C$76,B38,'Calculs'!$L$7:$L$76,1)&lt;&gt;E38,"Date prévue incorrecte",IF(L38=1,"Règlement en retard","OK"))))))))</x:f>
      </x:c>
      <x:c r="N38" s="30"/>
      <x:c r="O38" s="30"/>
      <x:c r="P38" s="30"/>
      <x:c r="Q38" s="30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30" t="str">
        <x:f>IF('Dépositaire'!C39="","",'Dépositaire'!C39)</x:f>
      </x:c>
      <x:c r="C39" s="36" t="str">
        <x:f>IF(B39="","",'Dépositaire'!D39)</x:f>
      </x:c>
      <x:c r="D39" s="30" t="str">
        <x:f>IF(B39="","",'Dépositaire'!G39)</x:f>
      </x:c>
      <x:c r="E39" s="36" t="str">
        <x:f>IF(B39="","",'Dépositaire'!E39)</x:f>
      </x:c>
      <x:c r="F39" s="36" t="str">
        <x:f>IF(B39="","",'Dépositaire'!F39)</x:f>
      </x:c>
      <x:c r="G39" s="30" t="str">
        <x:f>IF(B39="","",COUNTIFS('Calculs'!$C$7:$C$76,B39,'Calculs'!$L$7:$L$76,1))</x:f>
      </x:c>
      <x:c r="H39" s="30" t="str">
        <x:f>IF(B39="","",'Dépositaire'!I39)</x:f>
      </x:c>
      <x:c r="I39" s="30" t="str">
        <x:f>IF(B39="","",SUMIFS('Calculs'!$I$7:$I$76,'Calculs'!$C$7:$C$76,B39,'Calculs'!$L$7:$L$76,1))</x:f>
      </x:c>
      <x:c r="J39" s="30" t="str">
        <x:f>IF(B39="","",I39-H39)</x:f>
      </x:c>
      <x:c r="K39" s="32" t="str">
        <x:f>IF(B39="","",SUMIFS('Calculs'!$N$7:$N$76,'Calculs'!$C$7:$C$76,B39)-IF('Dépositaire'!H39="ACHAT",-'Dépositaire'!I39*'Dépositaire'!J39-'Dépositaire'!K39,'Dépositaire'!I39*'Dépositaire'!J39-'Dépositaire'!K39))</x:f>
      </x:c>
      <x:c r="L39" s="30" t="n">
        <x:f>IF(B39="",0,IF(AND(C39&lt;='Pilotage'!$C$6,E39&lt;='Pilotage'!$C$6,OR(F39=0,F39&gt;'Pilotage'!$C$6)),1,0))</x:f>
        <x:v>0</x:v>
      </x:c>
      <x:c r="M39" s="37" t="str">
        <x:f>IF(OR(B39="",C39&gt;'Pilotage'!$C$6),"",IF(G39=0,"Opération absente",IF(G39&gt;1,"Doublon",IF(COUNTIFS('Calculs'!$C$7:$C$76,B39,'Calculs'!$G$7:$G$76,D39,'Calculs'!$H$7:$H$76,'Dépositaire'!H39,'Calculs'!$L$7:$L$76,1)&lt;&gt;1,"Référence incorrecte",IF(J39&lt;&gt;0,"Quantité incorrecte",IF(ABS(K39)&gt;'Pilotage'!$C$11,"Montant incorrect",IF(SUMIFS('Calculs'!$E$7:$E$76,'Calculs'!$C$7:$C$76,B39,'Calculs'!$L$7:$L$76,1)&lt;&gt;E39,"Date prévue incorrecte",IF(L39=1,"Règlement en retard","OK"))))))))</x:f>
      </x:c>
      <x:c r="N39" s="30"/>
      <x:c r="O39" s="30"/>
      <x:c r="P39" s="30"/>
      <x:c r="Q39" s="30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30" t="str">
        <x:f>IF('Dépositaire'!C40="","",'Dépositaire'!C40)</x:f>
      </x:c>
      <x:c r="C40" s="36" t="str">
        <x:f>IF(B40="","",'Dépositaire'!D40)</x:f>
      </x:c>
      <x:c r="D40" s="30" t="str">
        <x:f>IF(B40="","",'Dépositaire'!G40)</x:f>
      </x:c>
      <x:c r="E40" s="36" t="str">
        <x:f>IF(B40="","",'Dépositaire'!E40)</x:f>
      </x:c>
      <x:c r="F40" s="36" t="str">
        <x:f>IF(B40="","",'Dépositaire'!F40)</x:f>
      </x:c>
      <x:c r="G40" s="30" t="str">
        <x:f>IF(B40="","",COUNTIFS('Calculs'!$C$7:$C$76,B40,'Calculs'!$L$7:$L$76,1))</x:f>
      </x:c>
      <x:c r="H40" s="30" t="str">
        <x:f>IF(B40="","",'Dépositaire'!I40)</x:f>
      </x:c>
      <x:c r="I40" s="30" t="str">
        <x:f>IF(B40="","",SUMIFS('Calculs'!$I$7:$I$76,'Calculs'!$C$7:$C$76,B40,'Calculs'!$L$7:$L$76,1))</x:f>
      </x:c>
      <x:c r="J40" s="30" t="str">
        <x:f>IF(B40="","",I40-H40)</x:f>
      </x:c>
      <x:c r="K40" s="32" t="str">
        <x:f>IF(B40="","",SUMIFS('Calculs'!$N$7:$N$76,'Calculs'!$C$7:$C$76,B40)-IF('Dépositaire'!H40="ACHAT",-'Dépositaire'!I40*'Dépositaire'!J40-'Dépositaire'!K40,'Dépositaire'!I40*'Dépositaire'!J40-'Dépositaire'!K40))</x:f>
      </x:c>
      <x:c r="L40" s="30" t="n">
        <x:f>IF(B40="",0,IF(AND(C40&lt;='Pilotage'!$C$6,E40&lt;='Pilotage'!$C$6,OR(F40=0,F40&gt;'Pilotage'!$C$6)),1,0))</x:f>
        <x:v>0</x:v>
      </x:c>
      <x:c r="M40" s="37" t="str">
        <x:f>IF(OR(B40="",C40&gt;'Pilotage'!$C$6),"",IF(G40=0,"Opération absente",IF(G40&gt;1,"Doublon",IF(COUNTIFS('Calculs'!$C$7:$C$76,B40,'Calculs'!$G$7:$G$76,D40,'Calculs'!$H$7:$H$76,'Dépositaire'!H40,'Calculs'!$L$7:$L$76,1)&lt;&gt;1,"Référence incorrecte",IF(J40&lt;&gt;0,"Quantité incorrecte",IF(ABS(K40)&gt;'Pilotage'!$C$11,"Montant incorrect",IF(SUMIFS('Calculs'!$E$7:$E$76,'Calculs'!$C$7:$C$76,B40,'Calculs'!$L$7:$L$76,1)&lt;&gt;E40,"Date prévue incorrecte",IF(L40=1,"Règlement en retard","OK"))))))))</x:f>
      </x:c>
      <x:c r="N40" s="30"/>
      <x:c r="O40" s="30"/>
      <x:c r="P40" s="30"/>
      <x:c r="Q40" s="30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30" t="str">
        <x:f>IF('Dépositaire'!C41="","",'Dépositaire'!C41)</x:f>
      </x:c>
      <x:c r="C41" s="36" t="str">
        <x:f>IF(B41="","",'Dépositaire'!D41)</x:f>
      </x:c>
      <x:c r="D41" s="30" t="str">
        <x:f>IF(B41="","",'Dépositaire'!G41)</x:f>
      </x:c>
      <x:c r="E41" s="36" t="str">
        <x:f>IF(B41="","",'Dépositaire'!E41)</x:f>
      </x:c>
      <x:c r="F41" s="36" t="str">
        <x:f>IF(B41="","",'Dépositaire'!F41)</x:f>
      </x:c>
      <x:c r="G41" s="30" t="str">
        <x:f>IF(B41="","",COUNTIFS('Calculs'!$C$7:$C$76,B41,'Calculs'!$L$7:$L$76,1))</x:f>
      </x:c>
      <x:c r="H41" s="30" t="str">
        <x:f>IF(B41="","",'Dépositaire'!I41)</x:f>
      </x:c>
      <x:c r="I41" s="30" t="str">
        <x:f>IF(B41="","",SUMIFS('Calculs'!$I$7:$I$76,'Calculs'!$C$7:$C$76,B41,'Calculs'!$L$7:$L$76,1))</x:f>
      </x:c>
      <x:c r="J41" s="30" t="str">
        <x:f>IF(B41="","",I41-H41)</x:f>
      </x:c>
      <x:c r="K41" s="32" t="str">
        <x:f>IF(B41="","",SUMIFS('Calculs'!$N$7:$N$76,'Calculs'!$C$7:$C$76,B41)-IF('Dépositaire'!H41="ACHAT",-'Dépositaire'!I41*'Dépositaire'!J41-'Dépositaire'!K41,'Dépositaire'!I41*'Dépositaire'!J41-'Dépositaire'!K41))</x:f>
      </x:c>
      <x:c r="L41" s="30" t="n">
        <x:f>IF(B41="",0,IF(AND(C41&lt;='Pilotage'!$C$6,E41&lt;='Pilotage'!$C$6,OR(F41=0,F41&gt;'Pilotage'!$C$6)),1,0))</x:f>
        <x:v>0</x:v>
      </x:c>
      <x:c r="M41" s="37" t="str">
        <x:f>IF(OR(B41="",C41&gt;'Pilotage'!$C$6),"",IF(G41=0,"Opération absente",IF(G41&gt;1,"Doublon",IF(COUNTIFS('Calculs'!$C$7:$C$76,B41,'Calculs'!$G$7:$G$76,D41,'Calculs'!$H$7:$H$76,'Dépositaire'!H41,'Calculs'!$L$7:$L$76,1)&lt;&gt;1,"Référence incorrecte",IF(J41&lt;&gt;0,"Quantité incorrecte",IF(ABS(K41)&gt;'Pilotage'!$C$11,"Montant incorrect",IF(SUMIFS('Calculs'!$E$7:$E$76,'Calculs'!$C$7:$C$76,B41,'Calculs'!$L$7:$L$76,1)&lt;&gt;E41,"Date prévue incorrecte",IF(L41=1,"Règlement en retard","OK"))))))))</x:f>
      </x:c>
      <x:c r="N41" s="30"/>
      <x:c r="O41" s="30"/>
      <x:c r="P41" s="30"/>
      <x:c r="Q41" s="30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30" t="str">
        <x:f>IF('Dépositaire'!C42="","",'Dépositaire'!C42)</x:f>
      </x:c>
      <x:c r="C42" s="36" t="str">
        <x:f>IF(B42="","",'Dépositaire'!D42)</x:f>
      </x:c>
      <x:c r="D42" s="30" t="str">
        <x:f>IF(B42="","",'Dépositaire'!G42)</x:f>
      </x:c>
      <x:c r="E42" s="36" t="str">
        <x:f>IF(B42="","",'Dépositaire'!E42)</x:f>
      </x:c>
      <x:c r="F42" s="36" t="str">
        <x:f>IF(B42="","",'Dépositaire'!F42)</x:f>
      </x:c>
      <x:c r="G42" s="30" t="str">
        <x:f>IF(B42="","",COUNTIFS('Calculs'!$C$7:$C$76,B42,'Calculs'!$L$7:$L$76,1))</x:f>
      </x:c>
      <x:c r="H42" s="30" t="str">
        <x:f>IF(B42="","",'Dépositaire'!I42)</x:f>
      </x:c>
      <x:c r="I42" s="30" t="str">
        <x:f>IF(B42="","",SUMIFS('Calculs'!$I$7:$I$76,'Calculs'!$C$7:$C$76,B42,'Calculs'!$L$7:$L$76,1))</x:f>
      </x:c>
      <x:c r="J42" s="30" t="str">
        <x:f>IF(B42="","",I42-H42)</x:f>
      </x:c>
      <x:c r="K42" s="32" t="str">
        <x:f>IF(B42="","",SUMIFS('Calculs'!$N$7:$N$76,'Calculs'!$C$7:$C$76,B42)-IF('Dépositaire'!H42="ACHAT",-'Dépositaire'!I42*'Dépositaire'!J42-'Dépositaire'!K42,'Dépositaire'!I42*'Dépositaire'!J42-'Dépositaire'!K42))</x:f>
      </x:c>
      <x:c r="L42" s="30" t="n">
        <x:f>IF(B42="",0,IF(AND(C42&lt;='Pilotage'!$C$6,E42&lt;='Pilotage'!$C$6,OR(F42=0,F42&gt;'Pilotage'!$C$6)),1,0))</x:f>
        <x:v>0</x:v>
      </x:c>
      <x:c r="M42" s="37" t="str">
        <x:f>IF(OR(B42="",C42&gt;'Pilotage'!$C$6),"",IF(G42=0,"Opération absente",IF(G42&gt;1,"Doublon",IF(COUNTIFS('Calculs'!$C$7:$C$76,B42,'Calculs'!$G$7:$G$76,D42,'Calculs'!$H$7:$H$76,'Dépositaire'!H42,'Calculs'!$L$7:$L$76,1)&lt;&gt;1,"Référence incorrecte",IF(J42&lt;&gt;0,"Quantité incorrecte",IF(ABS(K42)&gt;'Pilotage'!$C$11,"Montant incorrect",IF(SUMIFS('Calculs'!$E$7:$E$76,'Calculs'!$C$7:$C$76,B42,'Calculs'!$L$7:$L$76,1)&lt;&gt;E42,"Date prévue incorrecte",IF(L42=1,"Règlement en retard","OK"))))))))</x:f>
      </x:c>
      <x:c r="N42" s="30"/>
      <x:c r="O42" s="30"/>
      <x:c r="P42" s="30"/>
      <x:c r="Q42" s="30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30" t="str">
        <x:f>IF('Dépositaire'!C43="","",'Dépositaire'!C43)</x:f>
      </x:c>
      <x:c r="C43" s="36" t="str">
        <x:f>IF(B43="","",'Dépositaire'!D43)</x:f>
      </x:c>
      <x:c r="D43" s="30" t="str">
        <x:f>IF(B43="","",'Dépositaire'!G43)</x:f>
      </x:c>
      <x:c r="E43" s="36" t="str">
        <x:f>IF(B43="","",'Dépositaire'!E43)</x:f>
      </x:c>
      <x:c r="F43" s="36" t="str">
        <x:f>IF(B43="","",'Dépositaire'!F43)</x:f>
      </x:c>
      <x:c r="G43" s="30" t="str">
        <x:f>IF(B43="","",COUNTIFS('Calculs'!$C$7:$C$76,B43,'Calculs'!$L$7:$L$76,1))</x:f>
      </x:c>
      <x:c r="H43" s="30" t="str">
        <x:f>IF(B43="","",'Dépositaire'!I43)</x:f>
      </x:c>
      <x:c r="I43" s="30" t="str">
        <x:f>IF(B43="","",SUMIFS('Calculs'!$I$7:$I$76,'Calculs'!$C$7:$C$76,B43,'Calculs'!$L$7:$L$76,1))</x:f>
      </x:c>
      <x:c r="J43" s="30" t="str">
        <x:f>IF(B43="","",I43-H43)</x:f>
      </x:c>
      <x:c r="K43" s="32" t="str">
        <x:f>IF(B43="","",SUMIFS('Calculs'!$N$7:$N$76,'Calculs'!$C$7:$C$76,B43)-IF('Dépositaire'!H43="ACHAT",-'Dépositaire'!I43*'Dépositaire'!J43-'Dépositaire'!K43,'Dépositaire'!I43*'Dépositaire'!J43-'Dépositaire'!K43))</x:f>
      </x:c>
      <x:c r="L43" s="30" t="n">
        <x:f>IF(B43="",0,IF(AND(C43&lt;='Pilotage'!$C$6,E43&lt;='Pilotage'!$C$6,OR(F43=0,F43&gt;'Pilotage'!$C$6)),1,0))</x:f>
        <x:v>0</x:v>
      </x:c>
      <x:c r="M43" s="37" t="str">
        <x:f>IF(OR(B43="",C43&gt;'Pilotage'!$C$6),"",IF(G43=0,"Opération absente",IF(G43&gt;1,"Doublon",IF(COUNTIFS('Calculs'!$C$7:$C$76,B43,'Calculs'!$G$7:$G$76,D43,'Calculs'!$H$7:$H$76,'Dépositaire'!H43,'Calculs'!$L$7:$L$76,1)&lt;&gt;1,"Référence incorrecte",IF(J43&lt;&gt;0,"Quantité incorrecte",IF(ABS(K43)&gt;'Pilotage'!$C$11,"Montant incorrect",IF(SUMIFS('Calculs'!$E$7:$E$76,'Calculs'!$C$7:$C$76,B43,'Calculs'!$L$7:$L$76,1)&lt;&gt;E43,"Date prévue incorrecte",IF(L43=1,"Règlement en retard","OK"))))))))</x:f>
      </x:c>
      <x:c r="N43" s="30"/>
      <x:c r="O43" s="30"/>
      <x:c r="P43" s="30"/>
      <x:c r="Q43" s="30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30" t="str">
        <x:f>IF('Dépositaire'!C44="","",'Dépositaire'!C44)</x:f>
      </x:c>
      <x:c r="C44" s="36" t="str">
        <x:f>IF(B44="","",'Dépositaire'!D44)</x:f>
      </x:c>
      <x:c r="D44" s="30" t="str">
        <x:f>IF(B44="","",'Dépositaire'!G44)</x:f>
      </x:c>
      <x:c r="E44" s="36" t="str">
        <x:f>IF(B44="","",'Dépositaire'!E44)</x:f>
      </x:c>
      <x:c r="F44" s="36" t="str">
        <x:f>IF(B44="","",'Dépositaire'!F44)</x:f>
      </x:c>
      <x:c r="G44" s="30" t="str">
        <x:f>IF(B44="","",COUNTIFS('Calculs'!$C$7:$C$76,B44,'Calculs'!$L$7:$L$76,1))</x:f>
      </x:c>
      <x:c r="H44" s="30" t="str">
        <x:f>IF(B44="","",'Dépositaire'!I44)</x:f>
      </x:c>
      <x:c r="I44" s="30" t="str">
        <x:f>IF(B44="","",SUMIFS('Calculs'!$I$7:$I$76,'Calculs'!$C$7:$C$76,B44,'Calculs'!$L$7:$L$76,1))</x:f>
      </x:c>
      <x:c r="J44" s="30" t="str">
        <x:f>IF(B44="","",I44-H44)</x:f>
      </x:c>
      <x:c r="K44" s="32" t="str">
        <x:f>IF(B44="","",SUMIFS('Calculs'!$N$7:$N$76,'Calculs'!$C$7:$C$76,B44)-IF('Dépositaire'!H44="ACHAT",-'Dépositaire'!I44*'Dépositaire'!J44-'Dépositaire'!K44,'Dépositaire'!I44*'Dépositaire'!J44-'Dépositaire'!K44))</x:f>
      </x:c>
      <x:c r="L44" s="30" t="n">
        <x:f>IF(B44="",0,IF(AND(C44&lt;='Pilotage'!$C$6,E44&lt;='Pilotage'!$C$6,OR(F44=0,F44&gt;'Pilotage'!$C$6)),1,0))</x:f>
        <x:v>0</x:v>
      </x:c>
      <x:c r="M44" s="37" t="str">
        <x:f>IF(OR(B44="",C44&gt;'Pilotage'!$C$6),"",IF(G44=0,"Opération absente",IF(G44&gt;1,"Doublon",IF(COUNTIFS('Calculs'!$C$7:$C$76,B44,'Calculs'!$G$7:$G$76,D44,'Calculs'!$H$7:$H$76,'Dépositaire'!H44,'Calculs'!$L$7:$L$76,1)&lt;&gt;1,"Référence incorrecte",IF(J44&lt;&gt;0,"Quantité incorrecte",IF(ABS(K44)&gt;'Pilotage'!$C$11,"Montant incorrect",IF(SUMIFS('Calculs'!$E$7:$E$76,'Calculs'!$C$7:$C$76,B44,'Calculs'!$L$7:$L$76,1)&lt;&gt;E44,"Date prévue incorrecte",IF(L44=1,"Règlement en retard","OK"))))))))</x:f>
      </x:c>
      <x:c r="N44" s="30"/>
      <x:c r="O44" s="30"/>
      <x:c r="P44" s="30"/>
      <x:c r="Q44" s="30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30" t="str">
        <x:f>IF('Dépositaire'!C45="","",'Dépositaire'!C45)</x:f>
      </x:c>
      <x:c r="C45" s="36" t="str">
        <x:f>IF(B45="","",'Dépositaire'!D45)</x:f>
      </x:c>
      <x:c r="D45" s="30" t="str">
        <x:f>IF(B45="","",'Dépositaire'!G45)</x:f>
      </x:c>
      <x:c r="E45" s="36" t="str">
        <x:f>IF(B45="","",'Dépositaire'!E45)</x:f>
      </x:c>
      <x:c r="F45" s="36" t="str">
        <x:f>IF(B45="","",'Dépositaire'!F45)</x:f>
      </x:c>
      <x:c r="G45" s="30" t="str">
        <x:f>IF(B45="","",COUNTIFS('Calculs'!$C$7:$C$76,B45,'Calculs'!$L$7:$L$76,1))</x:f>
      </x:c>
      <x:c r="H45" s="30" t="str">
        <x:f>IF(B45="","",'Dépositaire'!I45)</x:f>
      </x:c>
      <x:c r="I45" s="30" t="str">
        <x:f>IF(B45="","",SUMIFS('Calculs'!$I$7:$I$76,'Calculs'!$C$7:$C$76,B45,'Calculs'!$L$7:$L$76,1))</x:f>
      </x:c>
      <x:c r="J45" s="30" t="str">
        <x:f>IF(B45="","",I45-H45)</x:f>
      </x:c>
      <x:c r="K45" s="32" t="str">
        <x:f>IF(B45="","",SUMIFS('Calculs'!$N$7:$N$76,'Calculs'!$C$7:$C$76,B45)-IF('Dépositaire'!H45="ACHAT",-'Dépositaire'!I45*'Dépositaire'!J45-'Dépositaire'!K45,'Dépositaire'!I45*'Dépositaire'!J45-'Dépositaire'!K45))</x:f>
      </x:c>
      <x:c r="L45" s="30" t="n">
        <x:f>IF(B45="",0,IF(AND(C45&lt;='Pilotage'!$C$6,E45&lt;='Pilotage'!$C$6,OR(F45=0,F45&gt;'Pilotage'!$C$6)),1,0))</x:f>
        <x:v>0</x:v>
      </x:c>
      <x:c r="M45" s="37" t="str">
        <x:f>IF(OR(B45="",C45&gt;'Pilotage'!$C$6),"",IF(G45=0,"Opération absente",IF(G45&gt;1,"Doublon",IF(COUNTIFS('Calculs'!$C$7:$C$76,B45,'Calculs'!$G$7:$G$76,D45,'Calculs'!$H$7:$H$76,'Dépositaire'!H45,'Calculs'!$L$7:$L$76,1)&lt;&gt;1,"Référence incorrecte",IF(J45&lt;&gt;0,"Quantité incorrecte",IF(ABS(K45)&gt;'Pilotage'!$C$11,"Montant incorrect",IF(SUMIFS('Calculs'!$E$7:$E$76,'Calculs'!$C$7:$C$76,B45,'Calculs'!$L$7:$L$76,1)&lt;&gt;E45,"Date prévue incorrecte",IF(L45=1,"Règlement en retard","OK"))))))))</x:f>
      </x:c>
      <x:c r="N45" s="30"/>
      <x:c r="O45" s="30"/>
      <x:c r="P45" s="30"/>
      <x:c r="Q45" s="30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30" t="str">
        <x:f>IF('Dépositaire'!C46="","",'Dépositaire'!C46)</x:f>
      </x:c>
      <x:c r="C46" s="36" t="str">
        <x:f>IF(B46="","",'Dépositaire'!D46)</x:f>
      </x:c>
      <x:c r="D46" s="30" t="str">
        <x:f>IF(B46="","",'Dépositaire'!G46)</x:f>
      </x:c>
      <x:c r="E46" s="36" t="str">
        <x:f>IF(B46="","",'Dépositaire'!E46)</x:f>
      </x:c>
      <x:c r="F46" s="36" t="str">
        <x:f>IF(B46="","",'Dépositaire'!F46)</x:f>
      </x:c>
      <x:c r="G46" s="30" t="str">
        <x:f>IF(B46="","",COUNTIFS('Calculs'!$C$7:$C$76,B46,'Calculs'!$L$7:$L$76,1))</x:f>
      </x:c>
      <x:c r="H46" s="30" t="str">
        <x:f>IF(B46="","",'Dépositaire'!I46)</x:f>
      </x:c>
      <x:c r="I46" s="30" t="str">
        <x:f>IF(B46="","",SUMIFS('Calculs'!$I$7:$I$76,'Calculs'!$C$7:$C$76,B46,'Calculs'!$L$7:$L$76,1))</x:f>
      </x:c>
      <x:c r="J46" s="30" t="str">
        <x:f>IF(B46="","",I46-H46)</x:f>
      </x:c>
      <x:c r="K46" s="32" t="str">
        <x:f>IF(B46="","",SUMIFS('Calculs'!$N$7:$N$76,'Calculs'!$C$7:$C$76,B46)-IF('Dépositaire'!H46="ACHAT",-'Dépositaire'!I46*'Dépositaire'!J46-'Dépositaire'!K46,'Dépositaire'!I46*'Dépositaire'!J46-'Dépositaire'!K46))</x:f>
      </x:c>
      <x:c r="L46" s="30" t="n">
        <x:f>IF(B46="",0,IF(AND(C46&lt;='Pilotage'!$C$6,E46&lt;='Pilotage'!$C$6,OR(F46=0,F46&gt;'Pilotage'!$C$6)),1,0))</x:f>
        <x:v>0</x:v>
      </x:c>
      <x:c r="M46" s="37" t="str">
        <x:f>IF(OR(B46="",C46&gt;'Pilotage'!$C$6),"",IF(G46=0,"Opération absente",IF(G46&gt;1,"Doublon",IF(COUNTIFS('Calculs'!$C$7:$C$76,B46,'Calculs'!$G$7:$G$76,D46,'Calculs'!$H$7:$H$76,'Dépositaire'!H46,'Calculs'!$L$7:$L$76,1)&lt;&gt;1,"Référence incorrecte",IF(J46&lt;&gt;0,"Quantité incorrecte",IF(ABS(K46)&gt;'Pilotage'!$C$11,"Montant incorrect",IF(SUMIFS('Calculs'!$E$7:$E$76,'Calculs'!$C$7:$C$76,B46,'Calculs'!$L$7:$L$76,1)&lt;&gt;E46,"Date prévue incorrecte",IF(L46=1,"Règlement en retard","OK"))))))))</x:f>
      </x:c>
      <x:c r="N46" s="30"/>
      <x:c r="O46" s="30"/>
      <x:c r="P46" s="30"/>
      <x:c r="Q46" s="30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30" t="str">
        <x:f>IF('Dépositaire'!C47="","",'Dépositaire'!C47)</x:f>
      </x:c>
      <x:c r="C47" s="36" t="str">
        <x:f>IF(B47="","",'Dépositaire'!D47)</x:f>
      </x:c>
      <x:c r="D47" s="30" t="str">
        <x:f>IF(B47="","",'Dépositaire'!G47)</x:f>
      </x:c>
      <x:c r="E47" s="36" t="str">
        <x:f>IF(B47="","",'Dépositaire'!E47)</x:f>
      </x:c>
      <x:c r="F47" s="36" t="str">
        <x:f>IF(B47="","",'Dépositaire'!F47)</x:f>
      </x:c>
      <x:c r="G47" s="30" t="str">
        <x:f>IF(B47="","",COUNTIFS('Calculs'!$C$7:$C$76,B47,'Calculs'!$L$7:$L$76,1))</x:f>
      </x:c>
      <x:c r="H47" s="30" t="str">
        <x:f>IF(B47="","",'Dépositaire'!I47)</x:f>
      </x:c>
      <x:c r="I47" s="30" t="str">
        <x:f>IF(B47="","",SUMIFS('Calculs'!$I$7:$I$76,'Calculs'!$C$7:$C$76,B47,'Calculs'!$L$7:$L$76,1))</x:f>
      </x:c>
      <x:c r="J47" s="30" t="str">
        <x:f>IF(B47="","",I47-H47)</x:f>
      </x:c>
      <x:c r="K47" s="32" t="str">
        <x:f>IF(B47="","",SUMIFS('Calculs'!$N$7:$N$76,'Calculs'!$C$7:$C$76,B47)-IF('Dépositaire'!H47="ACHAT",-'Dépositaire'!I47*'Dépositaire'!J47-'Dépositaire'!K47,'Dépositaire'!I47*'Dépositaire'!J47-'Dépositaire'!K47))</x:f>
      </x:c>
      <x:c r="L47" s="30" t="n">
        <x:f>IF(B47="",0,IF(AND(C47&lt;='Pilotage'!$C$6,E47&lt;='Pilotage'!$C$6,OR(F47=0,F47&gt;'Pilotage'!$C$6)),1,0))</x:f>
        <x:v>0</x:v>
      </x:c>
      <x:c r="M47" s="37" t="str">
        <x:f>IF(OR(B47="",C47&gt;'Pilotage'!$C$6),"",IF(G47=0,"Opération absente",IF(G47&gt;1,"Doublon",IF(COUNTIFS('Calculs'!$C$7:$C$76,B47,'Calculs'!$G$7:$G$76,D47,'Calculs'!$H$7:$H$76,'Dépositaire'!H47,'Calculs'!$L$7:$L$76,1)&lt;&gt;1,"Référence incorrecte",IF(J47&lt;&gt;0,"Quantité incorrecte",IF(ABS(K47)&gt;'Pilotage'!$C$11,"Montant incorrect",IF(SUMIFS('Calculs'!$E$7:$E$76,'Calculs'!$C$7:$C$76,B47,'Calculs'!$L$7:$L$76,1)&lt;&gt;E47,"Date prévue incorrecte",IF(L47=1,"Règlement en retard","OK"))))))))</x:f>
      </x:c>
      <x:c r="N47" s="30"/>
      <x:c r="O47" s="30"/>
      <x:c r="P47" s="30"/>
      <x:c r="Q47" s="30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30" t="str">
        <x:f>IF('Dépositaire'!C48="","",'Dépositaire'!C48)</x:f>
      </x:c>
      <x:c r="C48" s="36" t="str">
        <x:f>IF(B48="","",'Dépositaire'!D48)</x:f>
      </x:c>
      <x:c r="D48" s="30" t="str">
        <x:f>IF(B48="","",'Dépositaire'!G48)</x:f>
      </x:c>
      <x:c r="E48" s="36" t="str">
        <x:f>IF(B48="","",'Dépositaire'!E48)</x:f>
      </x:c>
      <x:c r="F48" s="36" t="str">
        <x:f>IF(B48="","",'Dépositaire'!F48)</x:f>
      </x:c>
      <x:c r="G48" s="30" t="str">
        <x:f>IF(B48="","",COUNTIFS('Calculs'!$C$7:$C$76,B48,'Calculs'!$L$7:$L$76,1))</x:f>
      </x:c>
      <x:c r="H48" s="30" t="str">
        <x:f>IF(B48="","",'Dépositaire'!I48)</x:f>
      </x:c>
      <x:c r="I48" s="30" t="str">
        <x:f>IF(B48="","",SUMIFS('Calculs'!$I$7:$I$76,'Calculs'!$C$7:$C$76,B48,'Calculs'!$L$7:$L$76,1))</x:f>
      </x:c>
      <x:c r="J48" s="30" t="str">
        <x:f>IF(B48="","",I48-H48)</x:f>
      </x:c>
      <x:c r="K48" s="32" t="str">
        <x:f>IF(B48="","",SUMIFS('Calculs'!$N$7:$N$76,'Calculs'!$C$7:$C$76,B48)-IF('Dépositaire'!H48="ACHAT",-'Dépositaire'!I48*'Dépositaire'!J48-'Dépositaire'!K48,'Dépositaire'!I48*'Dépositaire'!J48-'Dépositaire'!K48))</x:f>
      </x:c>
      <x:c r="L48" s="30" t="n">
        <x:f>IF(B48="",0,IF(AND(C48&lt;='Pilotage'!$C$6,E48&lt;='Pilotage'!$C$6,OR(F48=0,F48&gt;'Pilotage'!$C$6)),1,0))</x:f>
        <x:v>0</x:v>
      </x:c>
      <x:c r="M48" s="37" t="str">
        <x:f>IF(OR(B48="",C48&gt;'Pilotage'!$C$6),"",IF(G48=0,"Opération absente",IF(G48&gt;1,"Doublon",IF(COUNTIFS('Calculs'!$C$7:$C$76,B48,'Calculs'!$G$7:$G$76,D48,'Calculs'!$H$7:$H$76,'Dépositaire'!H48,'Calculs'!$L$7:$L$76,1)&lt;&gt;1,"Référence incorrecte",IF(J48&lt;&gt;0,"Quantité incorrecte",IF(ABS(K48)&gt;'Pilotage'!$C$11,"Montant incorrect",IF(SUMIFS('Calculs'!$E$7:$E$76,'Calculs'!$C$7:$C$76,B48,'Calculs'!$L$7:$L$76,1)&lt;&gt;E48,"Date prévue incorrecte",IF(L48=1,"Règlement en retard","OK"))))))))</x:f>
      </x:c>
      <x:c r="N48" s="30"/>
      <x:c r="O48" s="30"/>
      <x:c r="P48" s="30"/>
      <x:c r="Q48" s="30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30" t="str">
        <x:f>IF('Dépositaire'!C49="","",'Dépositaire'!C49)</x:f>
      </x:c>
      <x:c r="C49" s="36" t="str">
        <x:f>IF(B49="","",'Dépositaire'!D49)</x:f>
      </x:c>
      <x:c r="D49" s="30" t="str">
        <x:f>IF(B49="","",'Dépositaire'!G49)</x:f>
      </x:c>
      <x:c r="E49" s="36" t="str">
        <x:f>IF(B49="","",'Dépositaire'!E49)</x:f>
      </x:c>
      <x:c r="F49" s="36" t="str">
        <x:f>IF(B49="","",'Dépositaire'!F49)</x:f>
      </x:c>
      <x:c r="G49" s="30" t="str">
        <x:f>IF(B49="","",COUNTIFS('Calculs'!$C$7:$C$76,B49,'Calculs'!$L$7:$L$76,1))</x:f>
      </x:c>
      <x:c r="H49" s="30" t="str">
        <x:f>IF(B49="","",'Dépositaire'!I49)</x:f>
      </x:c>
      <x:c r="I49" s="30" t="str">
        <x:f>IF(B49="","",SUMIFS('Calculs'!$I$7:$I$76,'Calculs'!$C$7:$C$76,B49,'Calculs'!$L$7:$L$76,1))</x:f>
      </x:c>
      <x:c r="J49" s="30" t="str">
        <x:f>IF(B49="","",I49-H49)</x:f>
      </x:c>
      <x:c r="K49" s="32" t="str">
        <x:f>IF(B49="","",SUMIFS('Calculs'!$N$7:$N$76,'Calculs'!$C$7:$C$76,B49)-IF('Dépositaire'!H49="ACHAT",-'Dépositaire'!I49*'Dépositaire'!J49-'Dépositaire'!K49,'Dépositaire'!I49*'Dépositaire'!J49-'Dépositaire'!K49))</x:f>
      </x:c>
      <x:c r="L49" s="30" t="n">
        <x:f>IF(B49="",0,IF(AND(C49&lt;='Pilotage'!$C$6,E49&lt;='Pilotage'!$C$6,OR(F49=0,F49&gt;'Pilotage'!$C$6)),1,0))</x:f>
        <x:v>0</x:v>
      </x:c>
      <x:c r="M49" s="37" t="str">
        <x:f>IF(OR(B49="",C49&gt;'Pilotage'!$C$6),"",IF(G49=0,"Opération absente",IF(G49&gt;1,"Doublon",IF(COUNTIFS('Calculs'!$C$7:$C$76,B49,'Calculs'!$G$7:$G$76,D49,'Calculs'!$H$7:$H$76,'Dépositaire'!H49,'Calculs'!$L$7:$L$76,1)&lt;&gt;1,"Référence incorrecte",IF(J49&lt;&gt;0,"Quantité incorrecte",IF(ABS(K49)&gt;'Pilotage'!$C$11,"Montant incorrect",IF(SUMIFS('Calculs'!$E$7:$E$76,'Calculs'!$C$7:$C$76,B49,'Calculs'!$L$7:$L$76,1)&lt;&gt;E49,"Date prévue incorrecte",IF(L49=1,"Règlement en retard","OK"))))))))</x:f>
      </x:c>
      <x:c r="N49" s="30"/>
      <x:c r="O49" s="30"/>
      <x:c r="P49" s="30"/>
      <x:c r="Q49" s="30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30" t="str">
        <x:f>IF('Dépositaire'!C50="","",'Dépositaire'!C50)</x:f>
      </x:c>
      <x:c r="C50" s="36" t="str">
        <x:f>IF(B50="","",'Dépositaire'!D50)</x:f>
      </x:c>
      <x:c r="D50" s="30" t="str">
        <x:f>IF(B50="","",'Dépositaire'!G50)</x:f>
      </x:c>
      <x:c r="E50" s="36" t="str">
        <x:f>IF(B50="","",'Dépositaire'!E50)</x:f>
      </x:c>
      <x:c r="F50" s="36" t="str">
        <x:f>IF(B50="","",'Dépositaire'!F50)</x:f>
      </x:c>
      <x:c r="G50" s="30" t="str">
        <x:f>IF(B50="","",COUNTIFS('Calculs'!$C$7:$C$76,B50,'Calculs'!$L$7:$L$76,1))</x:f>
      </x:c>
      <x:c r="H50" s="30" t="str">
        <x:f>IF(B50="","",'Dépositaire'!I50)</x:f>
      </x:c>
      <x:c r="I50" s="30" t="str">
        <x:f>IF(B50="","",SUMIFS('Calculs'!$I$7:$I$76,'Calculs'!$C$7:$C$76,B50,'Calculs'!$L$7:$L$76,1))</x:f>
      </x:c>
      <x:c r="J50" s="30" t="str">
        <x:f>IF(B50="","",I50-H50)</x:f>
      </x:c>
      <x:c r="K50" s="32" t="str">
        <x:f>IF(B50="","",SUMIFS('Calculs'!$N$7:$N$76,'Calculs'!$C$7:$C$76,B50)-IF('Dépositaire'!H50="ACHAT",-'Dépositaire'!I50*'Dépositaire'!J50-'Dépositaire'!K50,'Dépositaire'!I50*'Dépositaire'!J50-'Dépositaire'!K50))</x:f>
      </x:c>
      <x:c r="L50" s="30" t="n">
        <x:f>IF(B50="",0,IF(AND(C50&lt;='Pilotage'!$C$6,E50&lt;='Pilotage'!$C$6,OR(F50=0,F50&gt;'Pilotage'!$C$6)),1,0))</x:f>
        <x:v>0</x:v>
      </x:c>
      <x:c r="M50" s="37" t="str">
        <x:f>IF(OR(B50="",C50&gt;'Pilotage'!$C$6),"",IF(G50=0,"Opération absente",IF(G50&gt;1,"Doublon",IF(COUNTIFS('Calculs'!$C$7:$C$76,B50,'Calculs'!$G$7:$G$76,D50,'Calculs'!$H$7:$H$76,'Dépositaire'!H50,'Calculs'!$L$7:$L$76,1)&lt;&gt;1,"Référence incorrecte",IF(J50&lt;&gt;0,"Quantité incorrecte",IF(ABS(K50)&gt;'Pilotage'!$C$11,"Montant incorrect",IF(SUMIFS('Calculs'!$E$7:$E$76,'Calculs'!$C$7:$C$76,B50,'Calculs'!$L$7:$L$76,1)&lt;&gt;E50,"Date prévue incorrecte",IF(L50=1,"Règlement en retard","OK"))))))))</x:f>
      </x:c>
      <x:c r="N50" s="30"/>
      <x:c r="O50" s="30"/>
      <x:c r="P50" s="30"/>
      <x:c r="Q50" s="30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30" t="str">
        <x:f>IF('Dépositaire'!C51="","",'Dépositaire'!C51)</x:f>
      </x:c>
      <x:c r="C51" s="36" t="str">
        <x:f>IF(B51="","",'Dépositaire'!D51)</x:f>
      </x:c>
      <x:c r="D51" s="30" t="str">
        <x:f>IF(B51="","",'Dépositaire'!G51)</x:f>
      </x:c>
      <x:c r="E51" s="36" t="str">
        <x:f>IF(B51="","",'Dépositaire'!E51)</x:f>
      </x:c>
      <x:c r="F51" s="36" t="str">
        <x:f>IF(B51="","",'Dépositaire'!F51)</x:f>
      </x:c>
      <x:c r="G51" s="30" t="str">
        <x:f>IF(B51="","",COUNTIFS('Calculs'!$C$7:$C$76,B51,'Calculs'!$L$7:$L$76,1))</x:f>
      </x:c>
      <x:c r="H51" s="30" t="str">
        <x:f>IF(B51="","",'Dépositaire'!I51)</x:f>
      </x:c>
      <x:c r="I51" s="30" t="str">
        <x:f>IF(B51="","",SUMIFS('Calculs'!$I$7:$I$76,'Calculs'!$C$7:$C$76,B51,'Calculs'!$L$7:$L$76,1))</x:f>
      </x:c>
      <x:c r="J51" s="30" t="str">
        <x:f>IF(B51="","",I51-H51)</x:f>
      </x:c>
      <x:c r="K51" s="32" t="str">
        <x:f>IF(B51="","",SUMIFS('Calculs'!$N$7:$N$76,'Calculs'!$C$7:$C$76,B51)-IF('Dépositaire'!H51="ACHAT",-'Dépositaire'!I51*'Dépositaire'!J51-'Dépositaire'!K51,'Dépositaire'!I51*'Dépositaire'!J51-'Dépositaire'!K51))</x:f>
      </x:c>
      <x:c r="L51" s="30" t="n">
        <x:f>IF(B51="",0,IF(AND(C51&lt;='Pilotage'!$C$6,E51&lt;='Pilotage'!$C$6,OR(F51=0,F51&gt;'Pilotage'!$C$6)),1,0))</x:f>
        <x:v>0</x:v>
      </x:c>
      <x:c r="M51" s="37" t="str">
        <x:f>IF(OR(B51="",C51&gt;'Pilotage'!$C$6),"",IF(G51=0,"Opération absente",IF(G51&gt;1,"Doublon",IF(COUNTIFS('Calculs'!$C$7:$C$76,B51,'Calculs'!$G$7:$G$76,D51,'Calculs'!$H$7:$H$76,'Dépositaire'!H51,'Calculs'!$L$7:$L$76,1)&lt;&gt;1,"Référence incorrecte",IF(J51&lt;&gt;0,"Quantité incorrecte",IF(ABS(K51)&gt;'Pilotage'!$C$11,"Montant incorrect",IF(SUMIFS('Calculs'!$E$7:$E$76,'Calculs'!$C$7:$C$76,B51,'Calculs'!$L$7:$L$76,1)&lt;&gt;E51,"Date prévue incorrecte",IF(L51=1,"Règlement en retard","OK"))))))))</x:f>
      </x:c>
      <x:c r="N51" s="30"/>
      <x:c r="O51" s="30"/>
      <x:c r="P51" s="30"/>
      <x:c r="Q51" s="30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30" t="str">
        <x:f>IF('Dépositaire'!C52="","",'Dépositaire'!C52)</x:f>
      </x:c>
      <x:c r="C52" s="36" t="str">
        <x:f>IF(B52="","",'Dépositaire'!D52)</x:f>
      </x:c>
      <x:c r="D52" s="30" t="str">
        <x:f>IF(B52="","",'Dépositaire'!G52)</x:f>
      </x:c>
      <x:c r="E52" s="36" t="str">
        <x:f>IF(B52="","",'Dépositaire'!E52)</x:f>
      </x:c>
      <x:c r="F52" s="36" t="str">
        <x:f>IF(B52="","",'Dépositaire'!F52)</x:f>
      </x:c>
      <x:c r="G52" s="30" t="str">
        <x:f>IF(B52="","",COUNTIFS('Calculs'!$C$7:$C$76,B52,'Calculs'!$L$7:$L$76,1))</x:f>
      </x:c>
      <x:c r="H52" s="30" t="str">
        <x:f>IF(B52="","",'Dépositaire'!I52)</x:f>
      </x:c>
      <x:c r="I52" s="30" t="str">
        <x:f>IF(B52="","",SUMIFS('Calculs'!$I$7:$I$76,'Calculs'!$C$7:$C$76,B52,'Calculs'!$L$7:$L$76,1))</x:f>
      </x:c>
      <x:c r="J52" s="30" t="str">
        <x:f>IF(B52="","",I52-H52)</x:f>
      </x:c>
      <x:c r="K52" s="32" t="str">
        <x:f>IF(B52="","",SUMIFS('Calculs'!$N$7:$N$76,'Calculs'!$C$7:$C$76,B52)-IF('Dépositaire'!H52="ACHAT",-'Dépositaire'!I52*'Dépositaire'!J52-'Dépositaire'!K52,'Dépositaire'!I52*'Dépositaire'!J52-'Dépositaire'!K52))</x:f>
      </x:c>
      <x:c r="L52" s="30" t="n">
        <x:f>IF(B52="",0,IF(AND(C52&lt;='Pilotage'!$C$6,E52&lt;='Pilotage'!$C$6,OR(F52=0,F52&gt;'Pilotage'!$C$6)),1,0))</x:f>
        <x:v>0</x:v>
      </x:c>
      <x:c r="M52" s="37" t="str">
        <x:f>IF(OR(B52="",C52&gt;'Pilotage'!$C$6),"",IF(G52=0,"Opération absente",IF(G52&gt;1,"Doublon",IF(COUNTIFS('Calculs'!$C$7:$C$76,B52,'Calculs'!$G$7:$G$76,D52,'Calculs'!$H$7:$H$76,'Dépositaire'!H52,'Calculs'!$L$7:$L$76,1)&lt;&gt;1,"Référence incorrecte",IF(J52&lt;&gt;0,"Quantité incorrecte",IF(ABS(K52)&gt;'Pilotage'!$C$11,"Montant incorrect",IF(SUMIFS('Calculs'!$E$7:$E$76,'Calculs'!$C$7:$C$76,B52,'Calculs'!$L$7:$L$76,1)&lt;&gt;E52,"Date prévue incorrecte",IF(L52=1,"Règlement en retard","OK"))))))))</x:f>
      </x:c>
      <x:c r="N52" s="30"/>
      <x:c r="O52" s="30"/>
      <x:c r="P52" s="30"/>
      <x:c r="Q52" s="30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30" t="str">
        <x:f>IF('Dépositaire'!C53="","",'Dépositaire'!C53)</x:f>
      </x:c>
      <x:c r="C53" s="36" t="str">
        <x:f>IF(B53="","",'Dépositaire'!D53)</x:f>
      </x:c>
      <x:c r="D53" s="30" t="str">
        <x:f>IF(B53="","",'Dépositaire'!G53)</x:f>
      </x:c>
      <x:c r="E53" s="36" t="str">
        <x:f>IF(B53="","",'Dépositaire'!E53)</x:f>
      </x:c>
      <x:c r="F53" s="36" t="str">
        <x:f>IF(B53="","",'Dépositaire'!F53)</x:f>
      </x:c>
      <x:c r="G53" s="30" t="str">
        <x:f>IF(B53="","",COUNTIFS('Calculs'!$C$7:$C$76,B53,'Calculs'!$L$7:$L$76,1))</x:f>
      </x:c>
      <x:c r="H53" s="30" t="str">
        <x:f>IF(B53="","",'Dépositaire'!I53)</x:f>
      </x:c>
      <x:c r="I53" s="30" t="str">
        <x:f>IF(B53="","",SUMIFS('Calculs'!$I$7:$I$76,'Calculs'!$C$7:$C$76,B53,'Calculs'!$L$7:$L$76,1))</x:f>
      </x:c>
      <x:c r="J53" s="30" t="str">
        <x:f>IF(B53="","",I53-H53)</x:f>
      </x:c>
      <x:c r="K53" s="32" t="str">
        <x:f>IF(B53="","",SUMIFS('Calculs'!$N$7:$N$76,'Calculs'!$C$7:$C$76,B53)-IF('Dépositaire'!H53="ACHAT",-'Dépositaire'!I53*'Dépositaire'!J53-'Dépositaire'!K53,'Dépositaire'!I53*'Dépositaire'!J53-'Dépositaire'!K53))</x:f>
      </x:c>
      <x:c r="L53" s="30" t="n">
        <x:f>IF(B53="",0,IF(AND(C53&lt;='Pilotage'!$C$6,E53&lt;='Pilotage'!$C$6,OR(F53=0,F53&gt;'Pilotage'!$C$6)),1,0))</x:f>
        <x:v>0</x:v>
      </x:c>
      <x:c r="M53" s="37" t="str">
        <x:f>IF(OR(B53="",C53&gt;'Pilotage'!$C$6),"",IF(G53=0,"Opération absente",IF(G53&gt;1,"Doublon",IF(COUNTIFS('Calculs'!$C$7:$C$76,B53,'Calculs'!$G$7:$G$76,D53,'Calculs'!$H$7:$H$76,'Dépositaire'!H53,'Calculs'!$L$7:$L$76,1)&lt;&gt;1,"Référence incorrecte",IF(J53&lt;&gt;0,"Quantité incorrecte",IF(ABS(K53)&gt;'Pilotage'!$C$11,"Montant incorrect",IF(SUMIFS('Calculs'!$E$7:$E$76,'Calculs'!$C$7:$C$76,B53,'Calculs'!$L$7:$L$76,1)&lt;&gt;E53,"Date prévue incorrecte",IF(L53=1,"Règlement en retard","OK"))))))))</x:f>
      </x:c>
      <x:c r="N53" s="30"/>
      <x:c r="O53" s="30"/>
      <x:c r="P53" s="30"/>
      <x:c r="Q53" s="30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30" t="str">
        <x:f>IF('Dépositaire'!C54="","",'Dépositaire'!C54)</x:f>
      </x:c>
      <x:c r="C54" s="36" t="str">
        <x:f>IF(B54="","",'Dépositaire'!D54)</x:f>
      </x:c>
      <x:c r="D54" s="30" t="str">
        <x:f>IF(B54="","",'Dépositaire'!G54)</x:f>
      </x:c>
      <x:c r="E54" s="36" t="str">
        <x:f>IF(B54="","",'Dépositaire'!E54)</x:f>
      </x:c>
      <x:c r="F54" s="36" t="str">
        <x:f>IF(B54="","",'Dépositaire'!F54)</x:f>
      </x:c>
      <x:c r="G54" s="30" t="str">
        <x:f>IF(B54="","",COUNTIFS('Calculs'!$C$7:$C$76,B54,'Calculs'!$L$7:$L$76,1))</x:f>
      </x:c>
      <x:c r="H54" s="30" t="str">
        <x:f>IF(B54="","",'Dépositaire'!I54)</x:f>
      </x:c>
      <x:c r="I54" s="30" t="str">
        <x:f>IF(B54="","",SUMIFS('Calculs'!$I$7:$I$76,'Calculs'!$C$7:$C$76,B54,'Calculs'!$L$7:$L$76,1))</x:f>
      </x:c>
      <x:c r="J54" s="30" t="str">
        <x:f>IF(B54="","",I54-H54)</x:f>
      </x:c>
      <x:c r="K54" s="32" t="str">
        <x:f>IF(B54="","",SUMIFS('Calculs'!$N$7:$N$76,'Calculs'!$C$7:$C$76,B54)-IF('Dépositaire'!H54="ACHAT",-'Dépositaire'!I54*'Dépositaire'!J54-'Dépositaire'!K54,'Dépositaire'!I54*'Dépositaire'!J54-'Dépositaire'!K54))</x:f>
      </x:c>
      <x:c r="L54" s="30" t="n">
        <x:f>IF(B54="",0,IF(AND(C54&lt;='Pilotage'!$C$6,E54&lt;='Pilotage'!$C$6,OR(F54=0,F54&gt;'Pilotage'!$C$6)),1,0))</x:f>
        <x:v>0</x:v>
      </x:c>
      <x:c r="M54" s="37" t="str">
        <x:f>IF(OR(B54="",C54&gt;'Pilotage'!$C$6),"",IF(G54=0,"Opération absente",IF(G54&gt;1,"Doublon",IF(COUNTIFS('Calculs'!$C$7:$C$76,B54,'Calculs'!$G$7:$G$76,D54,'Calculs'!$H$7:$H$76,'Dépositaire'!H54,'Calculs'!$L$7:$L$76,1)&lt;&gt;1,"Référence incorrecte",IF(J54&lt;&gt;0,"Quantité incorrecte",IF(ABS(K54)&gt;'Pilotage'!$C$11,"Montant incorrect",IF(SUMIFS('Calculs'!$E$7:$E$76,'Calculs'!$C$7:$C$76,B54,'Calculs'!$L$7:$L$76,1)&lt;&gt;E54,"Date prévue incorrecte",IF(L54=1,"Règlement en retard","OK"))))))))</x:f>
      </x:c>
      <x:c r="N54" s="30"/>
      <x:c r="O54" s="30"/>
      <x:c r="P54" s="30"/>
      <x:c r="Q54" s="30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30" t="str">
        <x:f>IF('Dépositaire'!C55="","",'Dépositaire'!C55)</x:f>
      </x:c>
      <x:c r="C55" s="36" t="str">
        <x:f>IF(B55="","",'Dépositaire'!D55)</x:f>
      </x:c>
      <x:c r="D55" s="30" t="str">
        <x:f>IF(B55="","",'Dépositaire'!G55)</x:f>
      </x:c>
      <x:c r="E55" s="36" t="str">
        <x:f>IF(B55="","",'Dépositaire'!E55)</x:f>
      </x:c>
      <x:c r="F55" s="36" t="str">
        <x:f>IF(B55="","",'Dépositaire'!F55)</x:f>
      </x:c>
      <x:c r="G55" s="30" t="str">
        <x:f>IF(B55="","",COUNTIFS('Calculs'!$C$7:$C$76,B55,'Calculs'!$L$7:$L$76,1))</x:f>
      </x:c>
      <x:c r="H55" s="30" t="str">
        <x:f>IF(B55="","",'Dépositaire'!I55)</x:f>
      </x:c>
      <x:c r="I55" s="30" t="str">
        <x:f>IF(B55="","",SUMIFS('Calculs'!$I$7:$I$76,'Calculs'!$C$7:$C$76,B55,'Calculs'!$L$7:$L$76,1))</x:f>
      </x:c>
      <x:c r="J55" s="30" t="str">
        <x:f>IF(B55="","",I55-H55)</x:f>
      </x:c>
      <x:c r="K55" s="32" t="str">
        <x:f>IF(B55="","",SUMIFS('Calculs'!$N$7:$N$76,'Calculs'!$C$7:$C$76,B55)-IF('Dépositaire'!H55="ACHAT",-'Dépositaire'!I55*'Dépositaire'!J55-'Dépositaire'!K55,'Dépositaire'!I55*'Dépositaire'!J55-'Dépositaire'!K55))</x:f>
      </x:c>
      <x:c r="L55" s="30" t="n">
        <x:f>IF(B55="",0,IF(AND(C55&lt;='Pilotage'!$C$6,E55&lt;='Pilotage'!$C$6,OR(F55=0,F55&gt;'Pilotage'!$C$6)),1,0))</x:f>
        <x:v>0</x:v>
      </x:c>
      <x:c r="M55" s="37" t="str">
        <x:f>IF(OR(B55="",C55&gt;'Pilotage'!$C$6),"",IF(G55=0,"Opération absente",IF(G55&gt;1,"Doublon",IF(COUNTIFS('Calculs'!$C$7:$C$76,B55,'Calculs'!$G$7:$G$76,D55,'Calculs'!$H$7:$H$76,'Dépositaire'!H55,'Calculs'!$L$7:$L$76,1)&lt;&gt;1,"Référence incorrecte",IF(J55&lt;&gt;0,"Quantité incorrecte",IF(ABS(K55)&gt;'Pilotage'!$C$11,"Montant incorrect",IF(SUMIFS('Calculs'!$E$7:$E$76,'Calculs'!$C$7:$C$76,B55,'Calculs'!$L$7:$L$76,1)&lt;&gt;E55,"Date prévue incorrecte",IF(L55=1,"Règlement en retard","OK"))))))))</x:f>
      </x:c>
      <x:c r="N55" s="30"/>
      <x:c r="O55" s="30"/>
      <x:c r="P55" s="30"/>
      <x:c r="Q55" s="30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30" t="str">
        <x:f>IF('Dépositaire'!C56="","",'Dépositaire'!C56)</x:f>
      </x:c>
      <x:c r="C56" s="36" t="str">
        <x:f>IF(B56="","",'Dépositaire'!D56)</x:f>
      </x:c>
      <x:c r="D56" s="30" t="str">
        <x:f>IF(B56="","",'Dépositaire'!G56)</x:f>
      </x:c>
      <x:c r="E56" s="36" t="str">
        <x:f>IF(B56="","",'Dépositaire'!E56)</x:f>
      </x:c>
      <x:c r="F56" s="36" t="str">
        <x:f>IF(B56="","",'Dépositaire'!F56)</x:f>
      </x:c>
      <x:c r="G56" s="30" t="str">
        <x:f>IF(B56="","",COUNTIFS('Calculs'!$C$7:$C$76,B56,'Calculs'!$L$7:$L$76,1))</x:f>
      </x:c>
      <x:c r="H56" s="30" t="str">
        <x:f>IF(B56="","",'Dépositaire'!I56)</x:f>
      </x:c>
      <x:c r="I56" s="30" t="str">
        <x:f>IF(B56="","",SUMIFS('Calculs'!$I$7:$I$76,'Calculs'!$C$7:$C$76,B56,'Calculs'!$L$7:$L$76,1))</x:f>
      </x:c>
      <x:c r="J56" s="30" t="str">
        <x:f>IF(B56="","",I56-H56)</x:f>
      </x:c>
      <x:c r="K56" s="32" t="str">
        <x:f>IF(B56="","",SUMIFS('Calculs'!$N$7:$N$76,'Calculs'!$C$7:$C$76,B56)-IF('Dépositaire'!H56="ACHAT",-'Dépositaire'!I56*'Dépositaire'!J56-'Dépositaire'!K56,'Dépositaire'!I56*'Dépositaire'!J56-'Dépositaire'!K56))</x:f>
      </x:c>
      <x:c r="L56" s="30" t="n">
        <x:f>IF(B56="",0,IF(AND(C56&lt;='Pilotage'!$C$6,E56&lt;='Pilotage'!$C$6,OR(F56=0,F56&gt;'Pilotage'!$C$6)),1,0))</x:f>
        <x:v>0</x:v>
      </x:c>
      <x:c r="M56" s="37" t="str">
        <x:f>IF(OR(B56="",C56&gt;'Pilotage'!$C$6),"",IF(G56=0,"Opération absente",IF(G56&gt;1,"Doublon",IF(COUNTIFS('Calculs'!$C$7:$C$76,B56,'Calculs'!$G$7:$G$76,D56,'Calculs'!$H$7:$H$76,'Dépositaire'!H56,'Calculs'!$L$7:$L$76,1)&lt;&gt;1,"Référence incorrecte",IF(J56&lt;&gt;0,"Quantité incorrecte",IF(ABS(K56)&gt;'Pilotage'!$C$11,"Montant incorrect",IF(SUMIFS('Calculs'!$E$7:$E$76,'Calculs'!$C$7:$C$76,B56,'Calculs'!$L$7:$L$76,1)&lt;&gt;E56,"Date prévue incorrecte",IF(L56=1,"Règlement en retard","OK"))))))))</x:f>
      </x:c>
      <x:c r="N56" s="30"/>
      <x:c r="O56" s="30"/>
      <x:c r="P56" s="30"/>
      <x:c r="Q56" s="30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30" t="str">
        <x:f>IF('Dépositaire'!C57="","",'Dépositaire'!C57)</x:f>
      </x:c>
      <x:c r="C57" s="36" t="str">
        <x:f>IF(B57="","",'Dépositaire'!D57)</x:f>
      </x:c>
      <x:c r="D57" s="30" t="str">
        <x:f>IF(B57="","",'Dépositaire'!G57)</x:f>
      </x:c>
      <x:c r="E57" s="36" t="str">
        <x:f>IF(B57="","",'Dépositaire'!E57)</x:f>
      </x:c>
      <x:c r="F57" s="36" t="str">
        <x:f>IF(B57="","",'Dépositaire'!F57)</x:f>
      </x:c>
      <x:c r="G57" s="30" t="str">
        <x:f>IF(B57="","",COUNTIFS('Calculs'!$C$7:$C$76,B57,'Calculs'!$L$7:$L$76,1))</x:f>
      </x:c>
      <x:c r="H57" s="30" t="str">
        <x:f>IF(B57="","",'Dépositaire'!I57)</x:f>
      </x:c>
      <x:c r="I57" s="30" t="str">
        <x:f>IF(B57="","",SUMIFS('Calculs'!$I$7:$I$76,'Calculs'!$C$7:$C$76,B57,'Calculs'!$L$7:$L$76,1))</x:f>
      </x:c>
      <x:c r="J57" s="30" t="str">
        <x:f>IF(B57="","",I57-H57)</x:f>
      </x:c>
      <x:c r="K57" s="32" t="str">
        <x:f>IF(B57="","",SUMIFS('Calculs'!$N$7:$N$76,'Calculs'!$C$7:$C$76,B57)-IF('Dépositaire'!H57="ACHAT",-'Dépositaire'!I57*'Dépositaire'!J57-'Dépositaire'!K57,'Dépositaire'!I57*'Dépositaire'!J57-'Dépositaire'!K57))</x:f>
      </x:c>
      <x:c r="L57" s="30" t="n">
        <x:f>IF(B57="",0,IF(AND(C57&lt;='Pilotage'!$C$6,E57&lt;='Pilotage'!$C$6,OR(F57=0,F57&gt;'Pilotage'!$C$6)),1,0))</x:f>
        <x:v>0</x:v>
      </x:c>
      <x:c r="M57" s="37" t="str">
        <x:f>IF(OR(B57="",C57&gt;'Pilotage'!$C$6),"",IF(G57=0,"Opération absente",IF(G57&gt;1,"Doublon",IF(COUNTIFS('Calculs'!$C$7:$C$76,B57,'Calculs'!$G$7:$G$76,D57,'Calculs'!$H$7:$H$76,'Dépositaire'!H57,'Calculs'!$L$7:$L$76,1)&lt;&gt;1,"Référence incorrecte",IF(J57&lt;&gt;0,"Quantité incorrecte",IF(ABS(K57)&gt;'Pilotage'!$C$11,"Montant incorrect",IF(SUMIFS('Calculs'!$E$7:$E$76,'Calculs'!$C$7:$C$76,B57,'Calculs'!$L$7:$L$76,1)&lt;&gt;E57,"Date prévue incorrecte",IF(L57=1,"Règlement en retard","OK"))))))))</x:f>
      </x:c>
      <x:c r="N57" s="30"/>
      <x:c r="O57" s="30"/>
      <x:c r="P57" s="30"/>
      <x:c r="Q57" s="30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30" t="str">
        <x:f>IF('Dépositaire'!C58="","",'Dépositaire'!C58)</x:f>
      </x:c>
      <x:c r="C58" s="36" t="str">
        <x:f>IF(B58="","",'Dépositaire'!D58)</x:f>
      </x:c>
      <x:c r="D58" s="30" t="str">
        <x:f>IF(B58="","",'Dépositaire'!G58)</x:f>
      </x:c>
      <x:c r="E58" s="36" t="str">
        <x:f>IF(B58="","",'Dépositaire'!E58)</x:f>
      </x:c>
      <x:c r="F58" s="36" t="str">
        <x:f>IF(B58="","",'Dépositaire'!F58)</x:f>
      </x:c>
      <x:c r="G58" s="30" t="str">
        <x:f>IF(B58="","",COUNTIFS('Calculs'!$C$7:$C$76,B58,'Calculs'!$L$7:$L$76,1))</x:f>
      </x:c>
      <x:c r="H58" s="30" t="str">
        <x:f>IF(B58="","",'Dépositaire'!I58)</x:f>
      </x:c>
      <x:c r="I58" s="30" t="str">
        <x:f>IF(B58="","",SUMIFS('Calculs'!$I$7:$I$76,'Calculs'!$C$7:$C$76,B58,'Calculs'!$L$7:$L$76,1))</x:f>
      </x:c>
      <x:c r="J58" s="30" t="str">
        <x:f>IF(B58="","",I58-H58)</x:f>
      </x:c>
      <x:c r="K58" s="32" t="str">
        <x:f>IF(B58="","",SUMIFS('Calculs'!$N$7:$N$76,'Calculs'!$C$7:$C$76,B58)-IF('Dépositaire'!H58="ACHAT",-'Dépositaire'!I58*'Dépositaire'!J58-'Dépositaire'!K58,'Dépositaire'!I58*'Dépositaire'!J58-'Dépositaire'!K58))</x:f>
      </x:c>
      <x:c r="L58" s="30" t="n">
        <x:f>IF(B58="",0,IF(AND(C58&lt;='Pilotage'!$C$6,E58&lt;='Pilotage'!$C$6,OR(F58=0,F58&gt;'Pilotage'!$C$6)),1,0))</x:f>
        <x:v>0</x:v>
      </x:c>
      <x:c r="M58" s="37" t="str">
        <x:f>IF(OR(B58="",C58&gt;'Pilotage'!$C$6),"",IF(G58=0,"Opération absente",IF(G58&gt;1,"Doublon",IF(COUNTIFS('Calculs'!$C$7:$C$76,B58,'Calculs'!$G$7:$G$76,D58,'Calculs'!$H$7:$H$76,'Dépositaire'!H58,'Calculs'!$L$7:$L$76,1)&lt;&gt;1,"Référence incorrecte",IF(J58&lt;&gt;0,"Quantité incorrecte",IF(ABS(K58)&gt;'Pilotage'!$C$11,"Montant incorrect",IF(SUMIFS('Calculs'!$E$7:$E$76,'Calculs'!$C$7:$C$76,B58,'Calculs'!$L$7:$L$76,1)&lt;&gt;E58,"Date prévue incorrecte",IF(L58=1,"Règlement en retard","OK"))))))))</x:f>
      </x:c>
      <x:c r="N58" s="30"/>
      <x:c r="O58" s="30"/>
      <x:c r="P58" s="30"/>
      <x:c r="Q58" s="30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30" t="str">
        <x:f>IF('Dépositaire'!C59="","",'Dépositaire'!C59)</x:f>
      </x:c>
      <x:c r="C59" s="36" t="str">
        <x:f>IF(B59="","",'Dépositaire'!D59)</x:f>
      </x:c>
      <x:c r="D59" s="30" t="str">
        <x:f>IF(B59="","",'Dépositaire'!G59)</x:f>
      </x:c>
      <x:c r="E59" s="36" t="str">
        <x:f>IF(B59="","",'Dépositaire'!E59)</x:f>
      </x:c>
      <x:c r="F59" s="36" t="str">
        <x:f>IF(B59="","",'Dépositaire'!F59)</x:f>
      </x:c>
      <x:c r="G59" s="30" t="str">
        <x:f>IF(B59="","",COUNTIFS('Calculs'!$C$7:$C$76,B59,'Calculs'!$L$7:$L$76,1))</x:f>
      </x:c>
      <x:c r="H59" s="30" t="str">
        <x:f>IF(B59="","",'Dépositaire'!I59)</x:f>
      </x:c>
      <x:c r="I59" s="30" t="str">
        <x:f>IF(B59="","",SUMIFS('Calculs'!$I$7:$I$76,'Calculs'!$C$7:$C$76,B59,'Calculs'!$L$7:$L$76,1))</x:f>
      </x:c>
      <x:c r="J59" s="30" t="str">
        <x:f>IF(B59="","",I59-H59)</x:f>
      </x:c>
      <x:c r="K59" s="32" t="str">
        <x:f>IF(B59="","",SUMIFS('Calculs'!$N$7:$N$76,'Calculs'!$C$7:$C$76,B59)-IF('Dépositaire'!H59="ACHAT",-'Dépositaire'!I59*'Dépositaire'!J59-'Dépositaire'!K59,'Dépositaire'!I59*'Dépositaire'!J59-'Dépositaire'!K59))</x:f>
      </x:c>
      <x:c r="L59" s="30" t="n">
        <x:f>IF(B59="",0,IF(AND(C59&lt;='Pilotage'!$C$6,E59&lt;='Pilotage'!$C$6,OR(F59=0,F59&gt;'Pilotage'!$C$6)),1,0))</x:f>
        <x:v>0</x:v>
      </x:c>
      <x:c r="M59" s="37" t="str">
        <x:f>IF(OR(B59="",C59&gt;'Pilotage'!$C$6),"",IF(G59=0,"Opération absente",IF(G59&gt;1,"Doublon",IF(COUNTIFS('Calculs'!$C$7:$C$76,B59,'Calculs'!$G$7:$G$76,D59,'Calculs'!$H$7:$H$76,'Dépositaire'!H59,'Calculs'!$L$7:$L$76,1)&lt;&gt;1,"Référence incorrecte",IF(J59&lt;&gt;0,"Quantité incorrecte",IF(ABS(K59)&gt;'Pilotage'!$C$11,"Montant incorrect",IF(SUMIFS('Calculs'!$E$7:$E$76,'Calculs'!$C$7:$C$76,B59,'Calculs'!$L$7:$L$76,1)&lt;&gt;E59,"Date prévue incorrecte",IF(L59=1,"Règlement en retard","OK"))))))))</x:f>
      </x:c>
      <x:c r="N59" s="30"/>
      <x:c r="O59" s="30"/>
      <x:c r="P59" s="30"/>
      <x:c r="Q59" s="30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30" t="str">
        <x:f>IF('Dépositaire'!C60="","",'Dépositaire'!C60)</x:f>
      </x:c>
      <x:c r="C60" s="36" t="str">
        <x:f>IF(B60="","",'Dépositaire'!D60)</x:f>
      </x:c>
      <x:c r="D60" s="30" t="str">
        <x:f>IF(B60="","",'Dépositaire'!G60)</x:f>
      </x:c>
      <x:c r="E60" s="36" t="str">
        <x:f>IF(B60="","",'Dépositaire'!E60)</x:f>
      </x:c>
      <x:c r="F60" s="36" t="str">
        <x:f>IF(B60="","",'Dépositaire'!F60)</x:f>
      </x:c>
      <x:c r="G60" s="30" t="str">
        <x:f>IF(B60="","",COUNTIFS('Calculs'!$C$7:$C$76,B60,'Calculs'!$L$7:$L$76,1))</x:f>
      </x:c>
      <x:c r="H60" s="30" t="str">
        <x:f>IF(B60="","",'Dépositaire'!I60)</x:f>
      </x:c>
      <x:c r="I60" s="30" t="str">
        <x:f>IF(B60="","",SUMIFS('Calculs'!$I$7:$I$76,'Calculs'!$C$7:$C$76,B60,'Calculs'!$L$7:$L$76,1))</x:f>
      </x:c>
      <x:c r="J60" s="30" t="str">
        <x:f>IF(B60="","",I60-H60)</x:f>
      </x:c>
      <x:c r="K60" s="32" t="str">
        <x:f>IF(B60="","",SUMIFS('Calculs'!$N$7:$N$76,'Calculs'!$C$7:$C$76,B60)-IF('Dépositaire'!H60="ACHAT",-'Dépositaire'!I60*'Dépositaire'!J60-'Dépositaire'!K60,'Dépositaire'!I60*'Dépositaire'!J60-'Dépositaire'!K60))</x:f>
      </x:c>
      <x:c r="L60" s="30" t="n">
        <x:f>IF(B60="",0,IF(AND(C60&lt;='Pilotage'!$C$6,E60&lt;='Pilotage'!$C$6,OR(F60=0,F60&gt;'Pilotage'!$C$6)),1,0))</x:f>
        <x:v>0</x:v>
      </x:c>
      <x:c r="M60" s="37" t="str">
        <x:f>IF(OR(B60="",C60&gt;'Pilotage'!$C$6),"",IF(G60=0,"Opération absente",IF(G60&gt;1,"Doublon",IF(COUNTIFS('Calculs'!$C$7:$C$76,B60,'Calculs'!$G$7:$G$76,D60,'Calculs'!$H$7:$H$76,'Dépositaire'!H60,'Calculs'!$L$7:$L$76,1)&lt;&gt;1,"Référence incorrecte",IF(J60&lt;&gt;0,"Quantité incorrecte",IF(ABS(K60)&gt;'Pilotage'!$C$11,"Montant incorrect",IF(SUMIFS('Calculs'!$E$7:$E$76,'Calculs'!$C$7:$C$76,B60,'Calculs'!$L$7:$L$76,1)&lt;&gt;E60,"Date prévue incorrecte",IF(L60=1,"Règlement en retard","OK"))))))))</x:f>
      </x:c>
      <x:c r="N60" s="30"/>
      <x:c r="O60" s="30"/>
      <x:c r="P60" s="30"/>
      <x:c r="Q60" s="30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30" t="str">
        <x:f>IF('Dépositaire'!C61="","",'Dépositaire'!C61)</x:f>
      </x:c>
      <x:c r="C61" s="36" t="str">
        <x:f>IF(B61="","",'Dépositaire'!D61)</x:f>
      </x:c>
      <x:c r="D61" s="30" t="str">
        <x:f>IF(B61="","",'Dépositaire'!G61)</x:f>
      </x:c>
      <x:c r="E61" s="36" t="str">
        <x:f>IF(B61="","",'Dépositaire'!E61)</x:f>
      </x:c>
      <x:c r="F61" s="36" t="str">
        <x:f>IF(B61="","",'Dépositaire'!F61)</x:f>
      </x:c>
      <x:c r="G61" s="30" t="str">
        <x:f>IF(B61="","",COUNTIFS('Calculs'!$C$7:$C$76,B61,'Calculs'!$L$7:$L$76,1))</x:f>
      </x:c>
      <x:c r="H61" s="30" t="str">
        <x:f>IF(B61="","",'Dépositaire'!I61)</x:f>
      </x:c>
      <x:c r="I61" s="30" t="str">
        <x:f>IF(B61="","",SUMIFS('Calculs'!$I$7:$I$76,'Calculs'!$C$7:$C$76,B61,'Calculs'!$L$7:$L$76,1))</x:f>
      </x:c>
      <x:c r="J61" s="30" t="str">
        <x:f>IF(B61="","",I61-H61)</x:f>
      </x:c>
      <x:c r="K61" s="32" t="str">
        <x:f>IF(B61="","",SUMIFS('Calculs'!$N$7:$N$76,'Calculs'!$C$7:$C$76,B61)-IF('Dépositaire'!H61="ACHAT",-'Dépositaire'!I61*'Dépositaire'!J61-'Dépositaire'!K61,'Dépositaire'!I61*'Dépositaire'!J61-'Dépositaire'!K61))</x:f>
      </x:c>
      <x:c r="L61" s="30" t="n">
        <x:f>IF(B61="",0,IF(AND(C61&lt;='Pilotage'!$C$6,E61&lt;='Pilotage'!$C$6,OR(F61=0,F61&gt;'Pilotage'!$C$6)),1,0))</x:f>
        <x:v>0</x:v>
      </x:c>
      <x:c r="M61" s="37" t="str">
        <x:f>IF(OR(B61="",C61&gt;'Pilotage'!$C$6),"",IF(G61=0,"Opération absente",IF(G61&gt;1,"Doublon",IF(COUNTIFS('Calculs'!$C$7:$C$76,B61,'Calculs'!$G$7:$G$76,D61,'Calculs'!$H$7:$H$76,'Dépositaire'!H61,'Calculs'!$L$7:$L$76,1)&lt;&gt;1,"Référence incorrecte",IF(J61&lt;&gt;0,"Quantité incorrecte",IF(ABS(K61)&gt;'Pilotage'!$C$11,"Montant incorrect",IF(SUMIFS('Calculs'!$E$7:$E$76,'Calculs'!$C$7:$C$76,B61,'Calculs'!$L$7:$L$76,1)&lt;&gt;E61,"Date prévue incorrecte",IF(L61=1,"Règlement en retard","OK"))))))))</x:f>
      </x:c>
      <x:c r="N61" s="30"/>
      <x:c r="O61" s="30"/>
      <x:c r="P61" s="30"/>
      <x:c r="Q61" s="30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30" t="str">
        <x:f>IF('Dépositaire'!C62="","",'Dépositaire'!C62)</x:f>
      </x:c>
      <x:c r="C62" s="36" t="str">
        <x:f>IF(B62="","",'Dépositaire'!D62)</x:f>
      </x:c>
      <x:c r="D62" s="30" t="str">
        <x:f>IF(B62="","",'Dépositaire'!G62)</x:f>
      </x:c>
      <x:c r="E62" s="36" t="str">
        <x:f>IF(B62="","",'Dépositaire'!E62)</x:f>
      </x:c>
      <x:c r="F62" s="36" t="str">
        <x:f>IF(B62="","",'Dépositaire'!F62)</x:f>
      </x:c>
      <x:c r="G62" s="30" t="str">
        <x:f>IF(B62="","",COUNTIFS('Calculs'!$C$7:$C$76,B62,'Calculs'!$L$7:$L$76,1))</x:f>
      </x:c>
      <x:c r="H62" s="30" t="str">
        <x:f>IF(B62="","",'Dépositaire'!I62)</x:f>
      </x:c>
      <x:c r="I62" s="30" t="str">
        <x:f>IF(B62="","",SUMIFS('Calculs'!$I$7:$I$76,'Calculs'!$C$7:$C$76,B62,'Calculs'!$L$7:$L$76,1))</x:f>
      </x:c>
      <x:c r="J62" s="30" t="str">
        <x:f>IF(B62="","",I62-H62)</x:f>
      </x:c>
      <x:c r="K62" s="32" t="str">
        <x:f>IF(B62="","",SUMIFS('Calculs'!$N$7:$N$76,'Calculs'!$C$7:$C$76,B62)-IF('Dépositaire'!H62="ACHAT",-'Dépositaire'!I62*'Dépositaire'!J62-'Dépositaire'!K62,'Dépositaire'!I62*'Dépositaire'!J62-'Dépositaire'!K62))</x:f>
      </x:c>
      <x:c r="L62" s="30" t="n">
        <x:f>IF(B62="",0,IF(AND(C62&lt;='Pilotage'!$C$6,E62&lt;='Pilotage'!$C$6,OR(F62=0,F62&gt;'Pilotage'!$C$6)),1,0))</x:f>
        <x:v>0</x:v>
      </x:c>
      <x:c r="M62" s="37" t="str">
        <x:f>IF(OR(B62="",C62&gt;'Pilotage'!$C$6),"",IF(G62=0,"Opération absente",IF(G62&gt;1,"Doublon",IF(COUNTIFS('Calculs'!$C$7:$C$76,B62,'Calculs'!$G$7:$G$76,D62,'Calculs'!$H$7:$H$76,'Dépositaire'!H62,'Calculs'!$L$7:$L$76,1)&lt;&gt;1,"Référence incorrecte",IF(J62&lt;&gt;0,"Quantité incorrecte",IF(ABS(K62)&gt;'Pilotage'!$C$11,"Montant incorrect",IF(SUMIFS('Calculs'!$E$7:$E$76,'Calculs'!$C$7:$C$76,B62,'Calculs'!$L$7:$L$76,1)&lt;&gt;E62,"Date prévue incorrecte",IF(L62=1,"Règlement en retard","OK"))))))))</x:f>
      </x:c>
      <x:c r="N62" s="30"/>
      <x:c r="O62" s="30"/>
      <x:c r="P62" s="30"/>
      <x:c r="Q62" s="30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30" t="str">
        <x:f>IF('Dépositaire'!C63="","",'Dépositaire'!C63)</x:f>
      </x:c>
      <x:c r="C63" s="36" t="str">
        <x:f>IF(B63="","",'Dépositaire'!D63)</x:f>
      </x:c>
      <x:c r="D63" s="30" t="str">
        <x:f>IF(B63="","",'Dépositaire'!G63)</x:f>
      </x:c>
      <x:c r="E63" s="36" t="str">
        <x:f>IF(B63="","",'Dépositaire'!E63)</x:f>
      </x:c>
      <x:c r="F63" s="36" t="str">
        <x:f>IF(B63="","",'Dépositaire'!F63)</x:f>
      </x:c>
      <x:c r="G63" s="30" t="str">
        <x:f>IF(B63="","",COUNTIFS('Calculs'!$C$7:$C$76,B63,'Calculs'!$L$7:$L$76,1))</x:f>
      </x:c>
      <x:c r="H63" s="30" t="str">
        <x:f>IF(B63="","",'Dépositaire'!I63)</x:f>
      </x:c>
      <x:c r="I63" s="30" t="str">
        <x:f>IF(B63="","",SUMIFS('Calculs'!$I$7:$I$76,'Calculs'!$C$7:$C$76,B63,'Calculs'!$L$7:$L$76,1))</x:f>
      </x:c>
      <x:c r="J63" s="30" t="str">
        <x:f>IF(B63="","",I63-H63)</x:f>
      </x:c>
      <x:c r="K63" s="32" t="str">
        <x:f>IF(B63="","",SUMIFS('Calculs'!$N$7:$N$76,'Calculs'!$C$7:$C$76,B63)-IF('Dépositaire'!H63="ACHAT",-'Dépositaire'!I63*'Dépositaire'!J63-'Dépositaire'!K63,'Dépositaire'!I63*'Dépositaire'!J63-'Dépositaire'!K63))</x:f>
      </x:c>
      <x:c r="L63" s="30" t="n">
        <x:f>IF(B63="",0,IF(AND(C63&lt;='Pilotage'!$C$6,E63&lt;='Pilotage'!$C$6,OR(F63=0,F63&gt;'Pilotage'!$C$6)),1,0))</x:f>
        <x:v>0</x:v>
      </x:c>
      <x:c r="M63" s="37" t="str">
        <x:f>IF(OR(B63="",C63&gt;'Pilotage'!$C$6),"",IF(G63=0,"Opération absente",IF(G63&gt;1,"Doublon",IF(COUNTIFS('Calculs'!$C$7:$C$76,B63,'Calculs'!$G$7:$G$76,D63,'Calculs'!$H$7:$H$76,'Dépositaire'!H63,'Calculs'!$L$7:$L$76,1)&lt;&gt;1,"Référence incorrecte",IF(J63&lt;&gt;0,"Quantité incorrecte",IF(ABS(K63)&gt;'Pilotage'!$C$11,"Montant incorrect",IF(SUMIFS('Calculs'!$E$7:$E$76,'Calculs'!$C$7:$C$76,B63,'Calculs'!$L$7:$L$76,1)&lt;&gt;E63,"Date prévue incorrecte",IF(L63=1,"Règlement en retard","OK"))))))))</x:f>
      </x:c>
      <x:c r="N63" s="30"/>
      <x:c r="O63" s="30"/>
      <x:c r="P63" s="30"/>
      <x:c r="Q63" s="30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30" t="str">
        <x:f>IF('Dépositaire'!C64="","",'Dépositaire'!C64)</x:f>
      </x:c>
      <x:c r="C64" s="36" t="str">
        <x:f>IF(B64="","",'Dépositaire'!D64)</x:f>
      </x:c>
      <x:c r="D64" s="30" t="str">
        <x:f>IF(B64="","",'Dépositaire'!G64)</x:f>
      </x:c>
      <x:c r="E64" s="36" t="str">
        <x:f>IF(B64="","",'Dépositaire'!E64)</x:f>
      </x:c>
      <x:c r="F64" s="36" t="str">
        <x:f>IF(B64="","",'Dépositaire'!F64)</x:f>
      </x:c>
      <x:c r="G64" s="30" t="str">
        <x:f>IF(B64="","",COUNTIFS('Calculs'!$C$7:$C$76,B64,'Calculs'!$L$7:$L$76,1))</x:f>
      </x:c>
      <x:c r="H64" s="30" t="str">
        <x:f>IF(B64="","",'Dépositaire'!I64)</x:f>
      </x:c>
      <x:c r="I64" s="30" t="str">
        <x:f>IF(B64="","",SUMIFS('Calculs'!$I$7:$I$76,'Calculs'!$C$7:$C$76,B64,'Calculs'!$L$7:$L$76,1))</x:f>
      </x:c>
      <x:c r="J64" s="30" t="str">
        <x:f>IF(B64="","",I64-H64)</x:f>
      </x:c>
      <x:c r="K64" s="32" t="str">
        <x:f>IF(B64="","",SUMIFS('Calculs'!$N$7:$N$76,'Calculs'!$C$7:$C$76,B64)-IF('Dépositaire'!H64="ACHAT",-'Dépositaire'!I64*'Dépositaire'!J64-'Dépositaire'!K64,'Dépositaire'!I64*'Dépositaire'!J64-'Dépositaire'!K64))</x:f>
      </x:c>
      <x:c r="L64" s="30" t="n">
        <x:f>IF(B64="",0,IF(AND(C64&lt;='Pilotage'!$C$6,E64&lt;='Pilotage'!$C$6,OR(F64=0,F64&gt;'Pilotage'!$C$6)),1,0))</x:f>
        <x:v>0</x:v>
      </x:c>
      <x:c r="M64" s="37" t="str">
        <x:f>IF(OR(B64="",C64&gt;'Pilotage'!$C$6),"",IF(G64=0,"Opération absente",IF(G64&gt;1,"Doublon",IF(COUNTIFS('Calculs'!$C$7:$C$76,B64,'Calculs'!$G$7:$G$76,D64,'Calculs'!$H$7:$H$76,'Dépositaire'!H64,'Calculs'!$L$7:$L$76,1)&lt;&gt;1,"Référence incorrecte",IF(J64&lt;&gt;0,"Quantité incorrecte",IF(ABS(K64)&gt;'Pilotage'!$C$11,"Montant incorrect",IF(SUMIFS('Calculs'!$E$7:$E$76,'Calculs'!$C$7:$C$76,B64,'Calculs'!$L$7:$L$76,1)&lt;&gt;E64,"Date prévue incorrecte",IF(L64=1,"Règlement en retard","OK"))))))))</x:f>
      </x:c>
      <x:c r="N64" s="30"/>
      <x:c r="O64" s="30"/>
      <x:c r="P64" s="30"/>
      <x:c r="Q64" s="30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30" t="str">
        <x:f>IF('Dépositaire'!C65="","",'Dépositaire'!C65)</x:f>
      </x:c>
      <x:c r="C65" s="36" t="str">
        <x:f>IF(B65="","",'Dépositaire'!D65)</x:f>
      </x:c>
      <x:c r="D65" s="30" t="str">
        <x:f>IF(B65="","",'Dépositaire'!G65)</x:f>
      </x:c>
      <x:c r="E65" s="36" t="str">
        <x:f>IF(B65="","",'Dépositaire'!E65)</x:f>
      </x:c>
      <x:c r="F65" s="36" t="str">
        <x:f>IF(B65="","",'Dépositaire'!F65)</x:f>
      </x:c>
      <x:c r="G65" s="30" t="str">
        <x:f>IF(B65="","",COUNTIFS('Calculs'!$C$7:$C$76,B65,'Calculs'!$L$7:$L$76,1))</x:f>
      </x:c>
      <x:c r="H65" s="30" t="str">
        <x:f>IF(B65="","",'Dépositaire'!I65)</x:f>
      </x:c>
      <x:c r="I65" s="30" t="str">
        <x:f>IF(B65="","",SUMIFS('Calculs'!$I$7:$I$76,'Calculs'!$C$7:$C$76,B65,'Calculs'!$L$7:$L$76,1))</x:f>
      </x:c>
      <x:c r="J65" s="30" t="str">
        <x:f>IF(B65="","",I65-H65)</x:f>
      </x:c>
      <x:c r="K65" s="32" t="str">
        <x:f>IF(B65="","",SUMIFS('Calculs'!$N$7:$N$76,'Calculs'!$C$7:$C$76,B65)-IF('Dépositaire'!H65="ACHAT",-'Dépositaire'!I65*'Dépositaire'!J65-'Dépositaire'!K65,'Dépositaire'!I65*'Dépositaire'!J65-'Dépositaire'!K65))</x:f>
      </x:c>
      <x:c r="L65" s="30" t="n">
        <x:f>IF(B65="",0,IF(AND(C65&lt;='Pilotage'!$C$6,E65&lt;='Pilotage'!$C$6,OR(F65=0,F65&gt;'Pilotage'!$C$6)),1,0))</x:f>
        <x:v>0</x:v>
      </x:c>
      <x:c r="M65" s="37" t="str">
        <x:f>IF(OR(B65="",C65&gt;'Pilotage'!$C$6),"",IF(G65=0,"Opération absente",IF(G65&gt;1,"Doublon",IF(COUNTIFS('Calculs'!$C$7:$C$76,B65,'Calculs'!$G$7:$G$76,D65,'Calculs'!$H$7:$H$76,'Dépositaire'!H65,'Calculs'!$L$7:$L$76,1)&lt;&gt;1,"Référence incorrecte",IF(J65&lt;&gt;0,"Quantité incorrecte",IF(ABS(K65)&gt;'Pilotage'!$C$11,"Montant incorrect",IF(SUMIFS('Calculs'!$E$7:$E$76,'Calculs'!$C$7:$C$76,B65,'Calculs'!$L$7:$L$76,1)&lt;&gt;E65,"Date prévue incorrecte",IF(L65=1,"Règlement en retard","OK"))))))))</x:f>
      </x:c>
      <x:c r="N65" s="30"/>
      <x:c r="O65" s="30"/>
      <x:c r="P65" s="30"/>
      <x:c r="Q65" s="30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30" t="str">
        <x:f>IF('Dépositaire'!C66="","",'Dépositaire'!C66)</x:f>
      </x:c>
      <x:c r="C66" s="36" t="str">
        <x:f>IF(B66="","",'Dépositaire'!D66)</x:f>
      </x:c>
      <x:c r="D66" s="30" t="str">
        <x:f>IF(B66="","",'Dépositaire'!G66)</x:f>
      </x:c>
      <x:c r="E66" s="36" t="str">
        <x:f>IF(B66="","",'Dépositaire'!E66)</x:f>
      </x:c>
      <x:c r="F66" s="36" t="str">
        <x:f>IF(B66="","",'Dépositaire'!F66)</x:f>
      </x:c>
      <x:c r="G66" s="30" t="str">
        <x:f>IF(B66="","",COUNTIFS('Calculs'!$C$7:$C$76,B66,'Calculs'!$L$7:$L$76,1))</x:f>
      </x:c>
      <x:c r="H66" s="30" t="str">
        <x:f>IF(B66="","",'Dépositaire'!I66)</x:f>
      </x:c>
      <x:c r="I66" s="30" t="str">
        <x:f>IF(B66="","",SUMIFS('Calculs'!$I$7:$I$76,'Calculs'!$C$7:$C$76,B66,'Calculs'!$L$7:$L$76,1))</x:f>
      </x:c>
      <x:c r="J66" s="30" t="str">
        <x:f>IF(B66="","",I66-H66)</x:f>
      </x:c>
      <x:c r="K66" s="32" t="str">
        <x:f>IF(B66="","",SUMIFS('Calculs'!$N$7:$N$76,'Calculs'!$C$7:$C$76,B66)-IF('Dépositaire'!H66="ACHAT",-'Dépositaire'!I66*'Dépositaire'!J66-'Dépositaire'!K66,'Dépositaire'!I66*'Dépositaire'!J66-'Dépositaire'!K66))</x:f>
      </x:c>
      <x:c r="L66" s="30" t="n">
        <x:f>IF(B66="",0,IF(AND(C66&lt;='Pilotage'!$C$6,E66&lt;='Pilotage'!$C$6,OR(F66=0,F66&gt;'Pilotage'!$C$6)),1,0))</x:f>
        <x:v>0</x:v>
      </x:c>
      <x:c r="M66" s="37" t="str">
        <x:f>IF(OR(B66="",C66&gt;'Pilotage'!$C$6),"",IF(G66=0,"Opération absente",IF(G66&gt;1,"Doublon",IF(COUNTIFS('Calculs'!$C$7:$C$76,B66,'Calculs'!$G$7:$G$76,D66,'Calculs'!$H$7:$H$76,'Dépositaire'!H66,'Calculs'!$L$7:$L$76,1)&lt;&gt;1,"Référence incorrecte",IF(J66&lt;&gt;0,"Quantité incorrecte",IF(ABS(K66)&gt;'Pilotage'!$C$11,"Montant incorrect",IF(SUMIFS('Calculs'!$E$7:$E$76,'Calculs'!$C$7:$C$76,B66,'Calculs'!$L$7:$L$76,1)&lt;&gt;E66,"Date prévue incorrecte",IF(L66=1,"Règlement en retard","OK"))))))))</x:f>
      </x:c>
      <x:c r="N66" s="30"/>
      <x:c r="O66" s="30"/>
      <x:c r="P66" s="30"/>
      <x:c r="Q66" s="30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34" customHeight="1">
      <x:c r="A75" s="2"/>
      <x:c r="B75" s="8" t="str">
        <x:v>Date</x:v>
      </x:c>
      <x:c r="C75" s="8" t="str">
        <x:v>ISIN</x:v>
      </x:c>
      <x:c r="D75" s="8" t="str">
        <x:v>Quantité interne réglée</x:v>
      </x:c>
      <x:c r="E75" s="8" t="str">
        <x:v>Quantité dépositaire</x:v>
      </x:c>
      <x:c r="F75" s="8" t="str">
        <x:v>Écart titres</x:v>
      </x:c>
      <x:c r="G75" s="8" t="str">
        <x:v>Cours</x:v>
      </x:c>
      <x:c r="H75" s="8" t="str">
        <x:v>Contrôle</x:v>
      </x:c>
      <x:c r="I75" s="30"/>
      <x:c r="J75" s="30"/>
      <x:c r="K75" s="30"/>
      <x:c r="L75" s="30"/>
      <x:c r="M75" s="30"/>
      <x:c r="N75" s="30"/>
      <x:c r="O75" s="30"/>
      <x:c r="P75" s="30"/>
      <x:c r="Q75" s="30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31" t="n">
        <x:f>'Calculs'!B91</x:f>
        <x:v>46279</x:v>
      </x:c>
      <x:c r="C76" s="30" t="str">
        <x:f>'Calculs'!C91</x:f>
        <x:v>FR0000120073</x:v>
      </x:c>
      <x:c r="D76" s="30" t="n">
        <x:f>'Calculs'!E91</x:f>
        <x:v>0</x:v>
      </x:c>
      <x:c r="E76" s="30" t="n">
        <x:f>'Calculs'!J91</x:f>
        <x:v>0</x:v>
      </x:c>
      <x:c r="F76" s="30" t="n">
        <x:f>'Calculs'!K91</x:f>
        <x:v>0</x:v>
      </x:c>
      <x:c r="G76" s="30" t="str">
        <x:f>'Calculs'!M91</x:f>
        <x:v>OK</x:v>
      </x:c>
      <x:c r="H76" s="30" t="str">
        <x:f>IF(B76&gt;'Pilotage'!$C$6,"",IF('Calculs'!N91&lt;&gt;1,"Positions absentes ou dupliquées",IF(F76&lt;&gt;0,"Écart titres",IF('Calculs'!L91&lt;&gt;"OK",'Calculs'!L91,IF(G76&lt;&gt;"OK",G76,"OK")))))</x:f>
        <x:v>OK</x:v>
      </x:c>
      <x:c r="I76" s="30"/>
      <x:c r="J76" s="30"/>
      <x:c r="K76" s="30"/>
      <x:c r="L76" s="30"/>
      <x:c r="M76" s="30"/>
      <x:c r="N76" s="30"/>
      <x:c r="O76" s="30"/>
      <x:c r="P76" s="30"/>
      <x:c r="Q76" s="30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31" t="n">
        <x:f>'Calculs'!B92</x:f>
        <x:v>46279</x:v>
      </x:c>
      <x:c r="C77" s="30" t="str">
        <x:f>'Calculs'!C92</x:f>
        <x:v>FR0000121972</x:v>
      </x:c>
      <x:c r="D77" s="30" t="n">
        <x:f>'Calculs'!E92</x:f>
        <x:v>0</x:v>
      </x:c>
      <x:c r="E77" s="30" t="n">
        <x:f>'Calculs'!J92</x:f>
        <x:v>0</x:v>
      </x:c>
      <x:c r="F77" s="30" t="n">
        <x:f>'Calculs'!K92</x:f>
        <x:v>0</x:v>
      </x:c>
      <x:c r="G77" s="30" t="str">
        <x:f>'Calculs'!M92</x:f>
        <x:v>OK</x:v>
      </x:c>
      <x:c r="H77" s="30" t="str">
        <x:f>IF(B77&gt;'Pilotage'!$C$6,"",IF('Calculs'!N92&lt;&gt;1,"Positions absentes ou dupliquées",IF(F77&lt;&gt;0,"Écart titres",IF('Calculs'!L92&lt;&gt;"OK",'Calculs'!L92,IF(G77&lt;&gt;"OK",G77,"OK")))))</x:f>
        <x:v>OK</x:v>
      </x:c>
      <x:c r="I77" s="30"/>
      <x:c r="J77" s="30"/>
      <x:c r="K77" s="30"/>
      <x:c r="L77" s="30"/>
      <x:c r="M77" s="30"/>
      <x:c r="N77" s="30"/>
      <x:c r="O77" s="30"/>
      <x:c r="P77" s="30"/>
      <x:c r="Q77" s="30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31" t="n">
        <x:f>'Calculs'!B93</x:f>
        <x:v>46279</x:v>
      </x:c>
      <x:c r="C78" s="30" t="str">
        <x:f>'Calculs'!C93</x:f>
        <x:v>FR0000120644</x:v>
      </x:c>
      <x:c r="D78" s="30" t="n">
        <x:f>'Calculs'!E93</x:f>
        <x:v>0</x:v>
      </x:c>
      <x:c r="E78" s="30" t="n">
        <x:f>'Calculs'!J93</x:f>
        <x:v>0</x:v>
      </x:c>
      <x:c r="F78" s="30" t="n">
        <x:f>'Calculs'!K93</x:f>
        <x:v>0</x:v>
      </x:c>
      <x:c r="G78" s="30" t="str">
        <x:f>'Calculs'!M93</x:f>
        <x:v>OK</x:v>
      </x:c>
      <x:c r="H78" s="30" t="str">
        <x:f>IF(B78&gt;'Pilotage'!$C$6,"",IF('Calculs'!N93&lt;&gt;1,"Positions absentes ou dupliquées",IF(F78&lt;&gt;0,"Écart titres",IF('Calculs'!L93&lt;&gt;"OK",'Calculs'!L93,IF(G78&lt;&gt;"OK",G78,"OK")))))</x:f>
        <x:v>OK</x:v>
      </x:c>
      <x:c r="I78" s="30"/>
      <x:c r="J78" s="30"/>
      <x:c r="K78" s="30"/>
      <x:c r="L78" s="30"/>
      <x:c r="M78" s="30"/>
      <x:c r="N78" s="30"/>
      <x:c r="O78" s="30"/>
      <x:c r="P78" s="30"/>
      <x:c r="Q78" s="30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31" t="n">
        <x:f>'Calculs'!B94</x:f>
        <x:v>46279</x:v>
      </x:c>
      <x:c r="C79" s="30" t="str">
        <x:f>'Calculs'!C94</x:f>
        <x:v>FR0000125486</x:v>
      </x:c>
      <x:c r="D79" s="30" t="n">
        <x:f>'Calculs'!E94</x:f>
        <x:v>0</x:v>
      </x:c>
      <x:c r="E79" s="30" t="n">
        <x:f>'Calculs'!J94</x:f>
        <x:v>0</x:v>
      </x:c>
      <x:c r="F79" s="30" t="n">
        <x:f>'Calculs'!K94</x:f>
        <x:v>0</x:v>
      </x:c>
      <x:c r="G79" s="30" t="str">
        <x:f>'Calculs'!M94</x:f>
        <x:v>OK</x:v>
      </x:c>
      <x:c r="H79" s="30" t="str">
        <x:f>IF(B79&gt;'Pilotage'!$C$6,"",IF('Calculs'!N94&lt;&gt;1,"Positions absentes ou dupliquées",IF(F79&lt;&gt;0,"Écart titres",IF('Calculs'!L94&lt;&gt;"OK",'Calculs'!L94,IF(G79&lt;&gt;"OK",G79,"OK")))))</x:f>
        <x:v>OK</x:v>
      </x:c>
      <x:c r="I79" s="30"/>
      <x:c r="J79" s="30"/>
      <x:c r="K79" s="30"/>
      <x:c r="L79" s="30"/>
      <x:c r="M79" s="30"/>
      <x:c r="N79" s="30"/>
      <x:c r="O79" s="30"/>
      <x:c r="P79" s="30"/>
      <x:c r="Q79" s="30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31" t="n">
        <x:f>'Calculs'!B95</x:f>
        <x:v>46279</x:v>
      </x:c>
      <x:c r="C80" s="30" t="str">
        <x:f>'Calculs'!C95</x:f>
        <x:v>FR0000120321</x:v>
      </x:c>
      <x:c r="D80" s="30" t="n">
        <x:f>'Calculs'!E95</x:f>
        <x:v>0</x:v>
      </x:c>
      <x:c r="E80" s="30" t="n">
        <x:f>'Calculs'!J95</x:f>
        <x:v>0</x:v>
      </x:c>
      <x:c r="F80" s="30" t="n">
        <x:f>'Calculs'!K95</x:f>
        <x:v>0</x:v>
      </x:c>
      <x:c r="G80" s="30" t="str">
        <x:f>'Calculs'!M95</x:f>
        <x:v>OK</x:v>
      </x:c>
      <x:c r="H80" s="30" t="str">
        <x:f>IF(B80&gt;'Pilotage'!$C$6,"",IF('Calculs'!N95&lt;&gt;1,"Positions absentes ou dupliquées",IF(F80&lt;&gt;0,"Écart titres",IF('Calculs'!L95&lt;&gt;"OK",'Calculs'!L95,IF(G80&lt;&gt;"OK",G80,"OK")))))</x:f>
        <x:v>OK</x:v>
      </x:c>
      <x:c r="I80" s="30"/>
      <x:c r="J80" s="30"/>
      <x:c r="K80" s="30"/>
      <x:c r="L80" s="30"/>
      <x:c r="M80" s="30"/>
      <x:c r="N80" s="30"/>
      <x:c r="O80" s="30"/>
      <x:c r="P80" s="30"/>
      <x:c r="Q80" s="30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31" t="n">
        <x:f>'Calculs'!B96</x:f>
        <x:v>46280</x:v>
      </x:c>
      <x:c r="C81" s="30" t="str">
        <x:f>'Calculs'!C96</x:f>
        <x:v>FR0000120073</x:v>
      </x:c>
      <x:c r="D81" s="30" t="n">
        <x:f>'Calculs'!E96</x:f>
        <x:v>0</x:v>
      </x:c>
      <x:c r="E81" s="30" t="n">
        <x:f>'Calculs'!J96</x:f>
        <x:v>0</x:v>
      </x:c>
      <x:c r="F81" s="30" t="n">
        <x:f>'Calculs'!K96</x:f>
        <x:v>0</x:v>
      </x:c>
      <x:c r="G81" s="30" t="str">
        <x:f>'Calculs'!M96</x:f>
        <x:v>OK</x:v>
      </x:c>
      <x:c r="H81" s="30" t="str">
        <x:f>IF(B81&gt;'Pilotage'!$C$6,"",IF('Calculs'!N96&lt;&gt;1,"Positions absentes ou dupliquées",IF(F81&lt;&gt;0,"Écart titres",IF('Calculs'!L96&lt;&gt;"OK",'Calculs'!L96,IF(G81&lt;&gt;"OK",G81,"OK")))))</x:f>
        <x:v>OK</x:v>
      </x:c>
      <x:c r="I81" s="30"/>
      <x:c r="J81" s="30"/>
      <x:c r="K81" s="30"/>
      <x:c r="L81" s="30"/>
      <x:c r="M81" s="30"/>
      <x:c r="N81" s="30"/>
      <x:c r="O81" s="30"/>
      <x:c r="P81" s="30"/>
      <x:c r="Q81" s="30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31" t="n">
        <x:f>'Calculs'!B97</x:f>
        <x:v>46280</x:v>
      </x:c>
      <x:c r="C82" s="30" t="str">
        <x:f>'Calculs'!C97</x:f>
        <x:v>FR0000121972</x:v>
      </x:c>
      <x:c r="D82" s="30" t="n">
        <x:f>'Calculs'!E97</x:f>
        <x:v>0</x:v>
      </x:c>
      <x:c r="E82" s="30" t="n">
        <x:f>'Calculs'!J97</x:f>
        <x:v>0</x:v>
      </x:c>
      <x:c r="F82" s="30" t="n">
        <x:f>'Calculs'!K97</x:f>
        <x:v>0</x:v>
      </x:c>
      <x:c r="G82" s="30" t="str">
        <x:f>'Calculs'!M97</x:f>
        <x:v>OK</x:v>
      </x:c>
      <x:c r="H82" s="30" t="str">
        <x:f>IF(B82&gt;'Pilotage'!$C$6,"",IF('Calculs'!N97&lt;&gt;1,"Positions absentes ou dupliquées",IF(F82&lt;&gt;0,"Écart titres",IF('Calculs'!L97&lt;&gt;"OK",'Calculs'!L97,IF(G82&lt;&gt;"OK",G82,"OK")))))</x:f>
        <x:v>OK</x:v>
      </x:c>
      <x:c r="I82" s="30"/>
      <x:c r="J82" s="30"/>
      <x:c r="K82" s="30"/>
      <x:c r="L82" s="30"/>
      <x:c r="M82" s="30"/>
      <x:c r="N82" s="30"/>
      <x:c r="O82" s="30"/>
      <x:c r="P82" s="30"/>
      <x:c r="Q82" s="30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31" t="n">
        <x:f>'Calculs'!B98</x:f>
        <x:v>46280</x:v>
      </x:c>
      <x:c r="C83" s="30" t="str">
        <x:f>'Calculs'!C98</x:f>
        <x:v>FR0000120644</x:v>
      </x:c>
      <x:c r="D83" s="30" t="n">
        <x:f>'Calculs'!E98</x:f>
        <x:v>0</x:v>
      </x:c>
      <x:c r="E83" s="30" t="n">
        <x:f>'Calculs'!J98</x:f>
        <x:v>0</x:v>
      </x:c>
      <x:c r="F83" s="30" t="n">
        <x:f>'Calculs'!K98</x:f>
        <x:v>0</x:v>
      </x:c>
      <x:c r="G83" s="30" t="str">
        <x:f>'Calculs'!M98</x:f>
        <x:v>OK</x:v>
      </x:c>
      <x:c r="H83" s="30" t="str">
        <x:f>IF(B83&gt;'Pilotage'!$C$6,"",IF('Calculs'!N98&lt;&gt;1,"Positions absentes ou dupliquées",IF(F83&lt;&gt;0,"Écart titres",IF('Calculs'!L98&lt;&gt;"OK",'Calculs'!L98,IF(G83&lt;&gt;"OK",G83,"OK")))))</x:f>
        <x:v>OK</x:v>
      </x:c>
      <x:c r="I83" s="30"/>
      <x:c r="J83" s="30"/>
      <x:c r="K83" s="30"/>
      <x:c r="L83" s="30"/>
      <x:c r="M83" s="30"/>
      <x:c r="N83" s="30"/>
      <x:c r="O83" s="30"/>
      <x:c r="P83" s="30"/>
      <x:c r="Q83" s="30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31" t="n">
        <x:f>'Calculs'!B99</x:f>
        <x:v>46280</x:v>
      </x:c>
      <x:c r="C84" s="30" t="str">
        <x:f>'Calculs'!C99</x:f>
        <x:v>FR0000125486</x:v>
      </x:c>
      <x:c r="D84" s="30" t="n">
        <x:f>'Calculs'!E99</x:f>
        <x:v>0</x:v>
      </x:c>
      <x:c r="E84" s="30" t="n">
        <x:f>'Calculs'!J99</x:f>
        <x:v>0</x:v>
      </x:c>
      <x:c r="F84" s="30" t="n">
        <x:f>'Calculs'!K99</x:f>
        <x:v>0</x:v>
      </x:c>
      <x:c r="G84" s="30" t="str">
        <x:f>'Calculs'!M99</x:f>
        <x:v>OK</x:v>
      </x:c>
      <x:c r="H84" s="30" t="str">
        <x:f>IF(B84&gt;'Pilotage'!$C$6,"",IF('Calculs'!N99&lt;&gt;1,"Positions absentes ou dupliquées",IF(F84&lt;&gt;0,"Écart titres",IF('Calculs'!L99&lt;&gt;"OK",'Calculs'!L99,IF(G84&lt;&gt;"OK",G84,"OK")))))</x:f>
        <x:v>OK</x:v>
      </x:c>
      <x:c r="I84" s="30"/>
      <x:c r="J84" s="30"/>
      <x:c r="K84" s="30"/>
      <x:c r="L84" s="30"/>
      <x:c r="M84" s="30"/>
      <x:c r="N84" s="30"/>
      <x:c r="O84" s="30"/>
      <x:c r="P84" s="30"/>
      <x:c r="Q84" s="30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31" t="n">
        <x:f>'Calculs'!B100</x:f>
        <x:v>46280</x:v>
      </x:c>
      <x:c r="C85" s="30" t="str">
        <x:f>'Calculs'!C100</x:f>
        <x:v>FR0000120321</x:v>
      </x:c>
      <x:c r="D85" s="30" t="n">
        <x:f>'Calculs'!E100</x:f>
        <x:v>0</x:v>
      </x:c>
      <x:c r="E85" s="30" t="n">
        <x:f>'Calculs'!J100</x:f>
        <x:v>0</x:v>
      </x:c>
      <x:c r="F85" s="30" t="n">
        <x:f>'Calculs'!K100</x:f>
        <x:v>0</x:v>
      </x:c>
      <x:c r="G85" s="30" t="str">
        <x:f>'Calculs'!M100</x:f>
        <x:v>OK</x:v>
      </x:c>
      <x:c r="H85" s="30" t="str">
        <x:f>IF(B85&gt;'Pilotage'!$C$6,"",IF('Calculs'!N100&lt;&gt;1,"Positions absentes ou dupliquées",IF(F85&lt;&gt;0,"Écart titres",IF('Calculs'!L100&lt;&gt;"OK",'Calculs'!L100,IF(G85&lt;&gt;"OK",G85,"OK")))))</x:f>
        <x:v>OK</x:v>
      </x:c>
      <x:c r="I85" s="30"/>
      <x:c r="J85" s="30"/>
      <x:c r="K85" s="30"/>
      <x:c r="L85" s="30"/>
      <x:c r="M85" s="30"/>
      <x:c r="N85" s="30"/>
      <x:c r="O85" s="30"/>
      <x:c r="P85" s="30"/>
      <x:c r="Q85" s="30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31" t="n">
        <x:f>'Calculs'!B101</x:f>
        <x:v>46281</x:v>
      </x:c>
      <x:c r="C86" s="30" t="str">
        <x:f>'Calculs'!C101</x:f>
        <x:v>FR0000120073</x:v>
      </x:c>
      <x:c r="D86" s="30" t="n">
        <x:f>'Calculs'!E101</x:f>
        <x:v>600</x:v>
      </x:c>
      <x:c r="E86" s="30" t="n">
        <x:f>'Calculs'!J101</x:f>
        <x:v>600</x:v>
      </x:c>
      <x:c r="F86" s="30" t="n">
        <x:f>'Calculs'!K101</x:f>
        <x:v>0</x:v>
      </x:c>
      <x:c r="G86" s="30" t="str">
        <x:f>'Calculs'!M101</x:f>
        <x:v>OK</x:v>
      </x:c>
      <x:c r="H86" s="30" t="str">
        <x:f>IF(B86&gt;'Pilotage'!$C$6,"",IF('Calculs'!N101&lt;&gt;1,"Positions absentes ou dupliquées",IF(F86&lt;&gt;0,"Écart titres",IF('Calculs'!L101&lt;&gt;"OK",'Calculs'!L101,IF(G86&lt;&gt;"OK",G86,"OK")))))</x:f>
        <x:v>OK</x:v>
      </x:c>
      <x:c r="I86" s="30"/>
      <x:c r="J86" s="30"/>
      <x:c r="K86" s="30"/>
      <x:c r="L86" s="30"/>
      <x:c r="M86" s="30"/>
      <x:c r="N86" s="30"/>
      <x:c r="O86" s="30"/>
      <x:c r="P86" s="30"/>
      <x:c r="Q86" s="30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31" t="n">
        <x:f>'Calculs'!B102</x:f>
        <x:v>46281</x:v>
      </x:c>
      <x:c r="C87" s="30" t="str">
        <x:f>'Calculs'!C102</x:f>
        <x:v>FR0000121972</x:v>
      </x:c>
      <x:c r="D87" s="30" t="n">
        <x:f>'Calculs'!E102</x:f>
        <x:v>400</x:v>
      </x:c>
      <x:c r="E87" s="30" t="n">
        <x:f>'Calculs'!J102</x:f>
        <x:v>400</x:v>
      </x:c>
      <x:c r="F87" s="30" t="n">
        <x:f>'Calculs'!K102</x:f>
        <x:v>0</x:v>
      </x:c>
      <x:c r="G87" s="30" t="str">
        <x:f>'Calculs'!M102</x:f>
        <x:v>OK</x:v>
      </x:c>
      <x:c r="H87" s="30" t="str">
        <x:f>IF(B87&gt;'Pilotage'!$C$6,"",IF('Calculs'!N102&lt;&gt;1,"Positions absentes ou dupliquées",IF(F87&lt;&gt;0,"Écart titres",IF('Calculs'!L102&lt;&gt;"OK",'Calculs'!L102,IF(G87&lt;&gt;"OK",G87,"OK")))))</x:f>
        <x:v>OK</x:v>
      </x:c>
      <x:c r="I87" s="30"/>
      <x:c r="J87" s="30"/>
      <x:c r="K87" s="30"/>
      <x:c r="L87" s="30"/>
      <x:c r="M87" s="30"/>
      <x:c r="N87" s="30"/>
      <x:c r="O87" s="30"/>
      <x:c r="P87" s="30"/>
      <x:c r="Q87" s="30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31" t="n">
        <x:f>'Calculs'!B103</x:f>
        <x:v>46281</x:v>
      </x:c>
      <x:c r="C88" s="30" t="str">
        <x:f>'Calculs'!C103</x:f>
        <x:v>FR0000120644</x:v>
      </x:c>
      <x:c r="D88" s="30" t="n">
        <x:f>'Calculs'!E103</x:f>
        <x:v>1800</x:v>
      </x:c>
      <x:c r="E88" s="30" t="n">
        <x:f>'Calculs'!J103</x:f>
        <x:v>1800</x:v>
      </x:c>
      <x:c r="F88" s="30" t="n">
        <x:f>'Calculs'!K103</x:f>
        <x:v>0</x:v>
      </x:c>
      <x:c r="G88" s="30" t="str">
        <x:f>'Calculs'!M103</x:f>
        <x:v>OK</x:v>
      </x:c>
      <x:c r="H88" s="30" t="str">
        <x:f>IF(B88&gt;'Pilotage'!$C$6,"",IF('Calculs'!N103&lt;&gt;1,"Positions absentes ou dupliquées",IF(F88&lt;&gt;0,"Écart titres",IF('Calculs'!L103&lt;&gt;"OK",'Calculs'!L103,IF(G88&lt;&gt;"OK",G88,"OK")))))</x:f>
        <x:v>OK</x:v>
      </x:c>
      <x:c r="I88" s="30"/>
      <x:c r="J88" s="30"/>
      <x:c r="K88" s="30"/>
      <x:c r="L88" s="30"/>
      <x:c r="M88" s="30"/>
      <x:c r="N88" s="30"/>
      <x:c r="O88" s="30"/>
      <x:c r="P88" s="30"/>
      <x:c r="Q88" s="30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31" t="n">
        <x:f>'Calculs'!B104</x:f>
        <x:v>46281</x:v>
      </x:c>
      <x:c r="C89" s="30" t="str">
        <x:f>'Calculs'!C104</x:f>
        <x:v>FR0000125486</x:v>
      </x:c>
      <x:c r="D89" s="30" t="n">
        <x:f>'Calculs'!E104</x:f>
        <x:v>900</x:v>
      </x:c>
      <x:c r="E89" s="30" t="n">
        <x:f>'Calculs'!J104</x:f>
        <x:v>900</x:v>
      </x:c>
      <x:c r="F89" s="30" t="n">
        <x:f>'Calculs'!K104</x:f>
        <x:v>0</x:v>
      </x:c>
      <x:c r="G89" s="30" t="str">
        <x:f>'Calculs'!M104</x:f>
        <x:v>OK</x:v>
      </x:c>
      <x:c r="H89" s="30" t="str">
        <x:f>IF(B89&gt;'Pilotage'!$C$6,"",IF('Calculs'!N104&lt;&gt;1,"Positions absentes ou dupliquées",IF(F89&lt;&gt;0,"Écart titres",IF('Calculs'!L104&lt;&gt;"OK",'Calculs'!L104,IF(G89&lt;&gt;"OK",G89,"OK")))))</x:f>
        <x:v>OK</x:v>
      </x:c>
      <x:c r="I89" s="30"/>
      <x:c r="J89" s="30"/>
      <x:c r="K89" s="30"/>
      <x:c r="L89" s="30"/>
      <x:c r="M89" s="30"/>
      <x:c r="N89" s="30"/>
      <x:c r="O89" s="30"/>
      <x:c r="P89" s="30"/>
      <x:c r="Q89" s="30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31" t="n">
        <x:f>'Calculs'!B105</x:f>
        <x:v>46281</x:v>
      </x:c>
      <x:c r="C90" s="30" t="str">
        <x:f>'Calculs'!C105</x:f>
        <x:v>FR0000120321</x:v>
      </x:c>
      <x:c r="D90" s="30" t="n">
        <x:f>'Calculs'!E105</x:f>
        <x:v>250</x:v>
      </x:c>
      <x:c r="E90" s="30" t="n">
        <x:f>'Calculs'!J105</x:f>
        <x:v>250</x:v>
      </x:c>
      <x:c r="F90" s="30" t="n">
        <x:f>'Calculs'!K105</x:f>
        <x:v>0</x:v>
      </x:c>
      <x:c r="G90" s="30" t="str">
        <x:f>'Calculs'!M105</x:f>
        <x:v>OK</x:v>
      </x:c>
      <x:c r="H90" s="30" t="str">
        <x:f>IF(B90&gt;'Pilotage'!$C$6,"",IF('Calculs'!N105&lt;&gt;1,"Positions absentes ou dupliquées",IF(F90&lt;&gt;0,"Écart titres",IF('Calculs'!L105&lt;&gt;"OK",'Calculs'!L105,IF(G90&lt;&gt;"OK",G90,"OK")))))</x:f>
        <x:v>OK</x:v>
      </x:c>
      <x:c r="I90" s="30"/>
      <x:c r="J90" s="30"/>
      <x:c r="K90" s="30"/>
      <x:c r="L90" s="30"/>
      <x:c r="M90" s="30"/>
      <x:c r="N90" s="30"/>
      <x:c r="O90" s="30"/>
      <x:c r="P90" s="30"/>
      <x:c r="Q90" s="30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31" t="n">
        <x:f>'Calculs'!B106</x:f>
        <x:v>46282</x:v>
      </x:c>
      <x:c r="C91" s="30" t="str">
        <x:f>'Calculs'!C106</x:f>
        <x:v>FR0000120073</x:v>
      </x:c>
      <x:c r="D91" s="30" t="n">
        <x:f>'Calculs'!E106</x:f>
        <x:v>700</x:v>
      </x:c>
      <x:c r="E91" s="30" t="n">
        <x:f>'Calculs'!J106</x:f>
        <x:v>700</x:v>
      </x:c>
      <x:c r="F91" s="30" t="n">
        <x:f>'Calculs'!K106</x:f>
        <x:v>0</x:v>
      </x:c>
      <x:c r="G91" s="30" t="str">
        <x:f>'Calculs'!M106</x:f>
        <x:v>OK</x:v>
      </x:c>
      <x:c r="H91" s="30" t="str">
        <x:f>IF(B91&gt;'Pilotage'!$C$6,"",IF('Calculs'!N106&lt;&gt;1,"Positions absentes ou dupliquées",IF(F91&lt;&gt;0,"Écart titres",IF('Calculs'!L106&lt;&gt;"OK",'Calculs'!L106,IF(G91&lt;&gt;"OK",G91,"OK")))))</x:f>
        <x:v>OK</x:v>
      </x:c>
      <x:c r="I91" s="30"/>
      <x:c r="J91" s="30"/>
      <x:c r="K91" s="30"/>
      <x:c r="L91" s="30"/>
      <x:c r="M91" s="30"/>
      <x:c r="N91" s="30"/>
      <x:c r="O91" s="30"/>
      <x:c r="P91" s="30"/>
      <x:c r="Q91" s="30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31" t="n">
        <x:f>'Calculs'!B107</x:f>
        <x:v>46282</x:v>
      </x:c>
      <x:c r="C92" s="30" t="str">
        <x:f>'Calculs'!C107</x:f>
        <x:v>FR0000121972</x:v>
      </x:c>
      <x:c r="D92" s="30" t="n">
        <x:f>'Calculs'!E107</x:f>
        <x:v>400</x:v>
      </x:c>
      <x:c r="E92" s="30" t="n">
        <x:f>'Calculs'!J107</x:f>
        <x:v>400</x:v>
      </x:c>
      <x:c r="F92" s="30" t="n">
        <x:f>'Calculs'!K107</x:f>
        <x:v>0</x:v>
      </x:c>
      <x:c r="G92" s="30" t="str">
        <x:f>'Calculs'!M107</x:f>
        <x:v>OK</x:v>
      </x:c>
      <x:c r="H92" s="30" t="str">
        <x:f>IF(B92&gt;'Pilotage'!$C$6,"",IF('Calculs'!N107&lt;&gt;1,"Positions absentes ou dupliquées",IF(F92&lt;&gt;0,"Écart titres",IF('Calculs'!L107&lt;&gt;"OK",'Calculs'!L107,IF(G92&lt;&gt;"OK",G92,"OK")))))</x:f>
        <x:v>OK</x:v>
      </x:c>
      <x:c r="I92" s="30"/>
      <x:c r="J92" s="30"/>
      <x:c r="K92" s="30"/>
      <x:c r="L92" s="30"/>
      <x:c r="M92" s="30"/>
      <x:c r="N92" s="30"/>
      <x:c r="O92" s="30"/>
      <x:c r="P92" s="30"/>
      <x:c r="Q92" s="30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31" t="n">
        <x:f>'Calculs'!B108</x:f>
        <x:v>46282</x:v>
      </x:c>
      <x:c r="C93" s="30" t="str">
        <x:f>'Calculs'!C108</x:f>
        <x:v>FR0000120644</x:v>
      </x:c>
      <x:c r="D93" s="30" t="n">
        <x:f>'Calculs'!E108</x:f>
        <x:v>1600</x:v>
      </x:c>
      <x:c r="E93" s="30" t="n">
        <x:f>'Calculs'!J108</x:f>
        <x:v>1600</x:v>
      </x:c>
      <x:c r="F93" s="30" t="n">
        <x:f>'Calculs'!K108</x:f>
        <x:v>0</x:v>
      </x:c>
      <x:c r="G93" s="30" t="str">
        <x:f>'Calculs'!M108</x:f>
        <x:v>OK</x:v>
      </x:c>
      <x:c r="H93" s="30" t="str">
        <x:f>IF(B93&gt;'Pilotage'!$C$6,"",IF('Calculs'!N108&lt;&gt;1,"Positions absentes ou dupliquées",IF(F93&lt;&gt;0,"Écart titres",IF('Calculs'!L108&lt;&gt;"OK",'Calculs'!L108,IF(G93&lt;&gt;"OK",G93,"OK")))))</x:f>
        <x:v>OK</x:v>
      </x:c>
      <x:c r="I93" s="30"/>
      <x:c r="J93" s="30"/>
      <x:c r="K93" s="30"/>
      <x:c r="L93" s="30"/>
      <x:c r="M93" s="30"/>
      <x:c r="N93" s="30"/>
      <x:c r="O93" s="30"/>
      <x:c r="P93" s="30"/>
      <x:c r="Q93" s="30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31" t="n">
        <x:f>'Calculs'!B109</x:f>
        <x:v>46282</x:v>
      </x:c>
      <x:c r="C94" s="30" t="str">
        <x:f>'Calculs'!C109</x:f>
        <x:v>FR0000125486</x:v>
      </x:c>
      <x:c r="D94" s="30" t="n">
        <x:f>'Calculs'!E109</x:f>
        <x:v>900</x:v>
      </x:c>
      <x:c r="E94" s="30" t="n">
        <x:f>'Calculs'!J109</x:f>
        <x:v>900</x:v>
      </x:c>
      <x:c r="F94" s="30" t="n">
        <x:f>'Calculs'!K109</x:f>
        <x:v>0</x:v>
      </x:c>
      <x:c r="G94" s="30" t="str">
        <x:f>'Calculs'!M109</x:f>
        <x:v>OK</x:v>
      </x:c>
      <x:c r="H94" s="30" t="str">
        <x:f>IF(B94&gt;'Pilotage'!$C$6,"",IF('Calculs'!N109&lt;&gt;1,"Positions absentes ou dupliquées",IF(F94&lt;&gt;0,"Écart titres",IF('Calculs'!L109&lt;&gt;"OK",'Calculs'!L109,IF(G94&lt;&gt;"OK",G94,"OK")))))</x:f>
        <x:v>OK</x:v>
      </x:c>
      <x:c r="I94" s="30"/>
      <x:c r="J94" s="30"/>
      <x:c r="K94" s="30"/>
      <x:c r="L94" s="30"/>
      <x:c r="M94" s="30"/>
      <x:c r="N94" s="30"/>
      <x:c r="O94" s="30"/>
      <x:c r="P94" s="30"/>
      <x:c r="Q94" s="30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31" t="n">
        <x:f>'Calculs'!B110</x:f>
        <x:v>46282</x:v>
      </x:c>
      <x:c r="C95" s="30" t="str">
        <x:f>'Calculs'!C110</x:f>
        <x:v>FR0000120321</x:v>
      </x:c>
      <x:c r="D95" s="30" t="n">
        <x:f>'Calculs'!E110</x:f>
        <x:v>300</x:v>
      </x:c>
      <x:c r="E95" s="30" t="n">
        <x:f>'Calculs'!J110</x:f>
        <x:v>300</x:v>
      </x:c>
      <x:c r="F95" s="30" t="n">
        <x:f>'Calculs'!K110</x:f>
        <x:v>0</x:v>
      </x:c>
      <x:c r="G95" s="30" t="str">
        <x:f>'Calculs'!M110</x:f>
        <x:v>OK</x:v>
      </x:c>
      <x:c r="H95" s="30" t="str">
        <x:f>IF(B95&gt;'Pilotage'!$C$6,"",IF('Calculs'!N110&lt;&gt;1,"Positions absentes ou dupliquées",IF(F95&lt;&gt;0,"Écart titres",IF('Calculs'!L110&lt;&gt;"OK",'Calculs'!L110,IF(G95&lt;&gt;"OK",G95,"OK")))))</x:f>
        <x:v>OK</x:v>
      </x:c>
      <x:c r="I95" s="30"/>
      <x:c r="J95" s="30"/>
      <x:c r="K95" s="30"/>
      <x:c r="L95" s="30"/>
      <x:c r="M95" s="30"/>
      <x:c r="N95" s="30"/>
      <x:c r="O95" s="30"/>
      <x:c r="P95" s="30"/>
      <x:c r="Q95" s="30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31" t="n">
        <x:f>'Calculs'!B111</x:f>
        <x:v>46283</x:v>
      </x:c>
      <x:c r="C96" s="30" t="str">
        <x:f>'Calculs'!C111</x:f>
        <x:v>FR0000120073</x:v>
      </x:c>
      <x:c r="D96" s="30" t="n">
        <x:f>'Calculs'!E111</x:f>
        <x:v>700</x:v>
      </x:c>
      <x:c r="E96" s="30" t="n">
        <x:f>'Calculs'!J111</x:f>
        <x:v>700</x:v>
      </x:c>
      <x:c r="F96" s="30" t="n">
        <x:f>'Calculs'!K111</x:f>
        <x:v>0</x:v>
      </x:c>
      <x:c r="G96" s="30" t="str">
        <x:f>'Calculs'!M111</x:f>
        <x:v>OK</x:v>
      </x:c>
      <x:c r="H96" s="30" t="str">
        <x:f>IF(B96&gt;'Pilotage'!$C$6,"",IF('Calculs'!N111&lt;&gt;1,"Positions absentes ou dupliquées",IF(F96&lt;&gt;0,"Écart titres",IF('Calculs'!L111&lt;&gt;"OK",'Calculs'!L111,IF(G96&lt;&gt;"OK",G96,"OK")))))</x:f>
        <x:v>OK</x:v>
      </x:c>
      <x:c r="I96" s="30"/>
      <x:c r="J96" s="30"/>
      <x:c r="K96" s="30"/>
      <x:c r="L96" s="30"/>
      <x:c r="M96" s="30"/>
      <x:c r="N96" s="30"/>
      <x:c r="O96" s="30"/>
      <x:c r="P96" s="30"/>
      <x:c r="Q96" s="30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31" t="n">
        <x:f>'Calculs'!B112</x:f>
        <x:v>46283</x:v>
      </x:c>
      <x:c r="C97" s="30" t="str">
        <x:f>'Calculs'!C112</x:f>
        <x:v>FR0000121972</x:v>
      </x:c>
      <x:c r="D97" s="30" t="n">
        <x:f>'Calculs'!E112</x:f>
        <x:v>350</x:v>
      </x:c>
      <x:c r="E97" s="30" t="n">
        <x:f>'Calculs'!J112</x:f>
        <x:v>350</x:v>
      </x:c>
      <x:c r="F97" s="30" t="n">
        <x:f>'Calculs'!K112</x:f>
        <x:v>0</x:v>
      </x:c>
      <x:c r="G97" s="30" t="str">
        <x:f>'Calculs'!M112</x:f>
        <x:v>OK</x:v>
      </x:c>
      <x:c r="H97" s="30" t="str">
        <x:f>IF(B97&gt;'Pilotage'!$C$6,"",IF('Calculs'!N112&lt;&gt;1,"Positions absentes ou dupliquées",IF(F97&lt;&gt;0,"Écart titres",IF('Calculs'!L112&lt;&gt;"OK",'Calculs'!L112,IF(G97&lt;&gt;"OK",G97,"OK")))))</x:f>
        <x:v>OK</x:v>
      </x:c>
      <x:c r="I97" s="30"/>
      <x:c r="J97" s="30"/>
      <x:c r="K97" s="30"/>
      <x:c r="L97" s="30"/>
      <x:c r="M97" s="30"/>
      <x:c r="N97" s="30"/>
      <x:c r="O97" s="30"/>
      <x:c r="P97" s="30"/>
      <x:c r="Q97" s="30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31" t="n">
        <x:f>'Calculs'!B113</x:f>
        <x:v>46283</x:v>
      </x:c>
      <x:c r="C98" s="30" t="str">
        <x:f>'Calculs'!C113</x:f>
        <x:v>FR0000120644</x:v>
      </x:c>
      <x:c r="D98" s="30" t="n">
        <x:f>'Calculs'!E113</x:f>
        <x:v>1600</x:v>
      </x:c>
      <x:c r="E98" s="30" t="n">
        <x:f>'Calculs'!J113</x:f>
        <x:v>1600</x:v>
      </x:c>
      <x:c r="F98" s="30" t="n">
        <x:f>'Calculs'!K113</x:f>
        <x:v>0</x:v>
      </x:c>
      <x:c r="G98" s="30" t="str">
        <x:f>'Calculs'!M113</x:f>
        <x:v>OK</x:v>
      </x:c>
      <x:c r="H98" s="30" t="str">
        <x:f>IF(B98&gt;'Pilotage'!$C$6,"",IF('Calculs'!N113&lt;&gt;1,"Positions absentes ou dupliquées",IF(F98&lt;&gt;0,"Écart titres",IF('Calculs'!L113&lt;&gt;"OK",'Calculs'!L113,IF(G98&lt;&gt;"OK",G98,"OK")))))</x:f>
        <x:v>OK</x:v>
      </x:c>
      <x:c r="I98" s="30"/>
      <x:c r="J98" s="30"/>
      <x:c r="K98" s="30"/>
      <x:c r="L98" s="30"/>
      <x:c r="M98" s="30"/>
      <x:c r="N98" s="30"/>
      <x:c r="O98" s="30"/>
      <x:c r="P98" s="30"/>
      <x:c r="Q98" s="30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31" t="n">
        <x:f>'Calculs'!B114</x:f>
        <x:v>46283</x:v>
      </x:c>
      <x:c r="C99" s="30" t="str">
        <x:f>'Calculs'!C114</x:f>
        <x:v>FR0000125486</x:v>
      </x:c>
      <x:c r="D99" s="30" t="n">
        <x:f>'Calculs'!E114</x:f>
        <x:v>1000</x:v>
      </x:c>
      <x:c r="E99" s="30" t="n">
        <x:f>'Calculs'!J114</x:f>
        <x:v>1000</x:v>
      </x:c>
      <x:c r="F99" s="30" t="n">
        <x:f>'Calculs'!K114</x:f>
        <x:v>0</x:v>
      </x:c>
      <x:c r="G99" s="30" t="str">
        <x:f>'Calculs'!M114</x:f>
        <x:v>OK</x:v>
      </x:c>
      <x:c r="H99" s="30" t="str">
        <x:f>IF(B99&gt;'Pilotage'!$C$6,"",IF('Calculs'!N114&lt;&gt;1,"Positions absentes ou dupliquées",IF(F99&lt;&gt;0,"Écart titres",IF('Calculs'!L114&lt;&gt;"OK",'Calculs'!L114,IF(G99&lt;&gt;"OK",G99,"OK")))))</x:f>
        <x:v>OK</x:v>
      </x:c>
      <x:c r="I99" s="30"/>
      <x:c r="J99" s="30"/>
      <x:c r="K99" s="30"/>
      <x:c r="L99" s="30"/>
      <x:c r="M99" s="30"/>
      <x:c r="N99" s="30"/>
      <x:c r="O99" s="30"/>
      <x:c r="P99" s="30"/>
      <x:c r="Q99" s="30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31" t="n">
        <x:f>'Calculs'!B115</x:f>
        <x:v>46283</x:v>
      </x:c>
      <x:c r="C100" s="30" t="str">
        <x:f>'Calculs'!C115</x:f>
        <x:v>FR0000120321</x:v>
      </x:c>
      <x:c r="D100" s="30" t="n">
        <x:f>'Calculs'!E115</x:f>
        <x:v>300</x:v>
      </x:c>
      <x:c r="E100" s="30" t="n">
        <x:f>'Calculs'!J115</x:f>
        <x:v>300</x:v>
      </x:c>
      <x:c r="F100" s="30" t="n">
        <x:f>'Calculs'!K115</x:f>
        <x:v>0</x:v>
      </x:c>
      <x:c r="G100" s="30" t="str">
        <x:f>'Calculs'!M115</x:f>
        <x:v>OK</x:v>
      </x:c>
      <x:c r="H100" s="30" t="str">
        <x:f>IF(B100&gt;'Pilotage'!$C$6,"",IF('Calculs'!N115&lt;&gt;1,"Positions absentes ou dupliquées",IF(F100&lt;&gt;0,"Écart titres",IF('Calculs'!L115&lt;&gt;"OK",'Calculs'!L115,IF(G100&lt;&gt;"OK",G100,"OK")))))</x:f>
        <x:v>OK</x:v>
      </x:c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31" t="n">
        <x:f>'Calculs'!B116</x:f>
        <x:v>46286</x:v>
      </x:c>
      <x:c r="C101" s="30" t="str">
        <x:f>'Calculs'!C116</x:f>
        <x:v>FR0000120073</x:v>
      </x:c>
      <x:c r="D101" s="30" t="n">
        <x:f>'Calculs'!E116</x:f>
        <x:v>620</x:v>
      </x:c>
      <x:c r="E101" s="30" t="n">
        <x:f>'Calculs'!J116</x:f>
        <x:v>620</x:v>
      </x:c>
      <x:c r="F101" s="30" t="n">
        <x:f>'Calculs'!K116</x:f>
        <x:v>0</x:v>
      </x:c>
      <x:c r="G101" s="30" t="str">
        <x:f>'Calculs'!M116</x:f>
        <x:v>OK</x:v>
      </x:c>
      <x:c r="H101" s="30" t="str">
        <x:f>IF(B101&gt;'Pilotage'!$C$6,"",IF('Calculs'!N116&lt;&gt;1,"Positions absentes ou dupliquées",IF(F101&lt;&gt;0,"Écart titres",IF('Calculs'!L116&lt;&gt;"OK",'Calculs'!L116,IF(G101&lt;&gt;"OK",G101,"OK")))))</x:f>
        <x:v>OK</x:v>
      </x:c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31" t="n">
        <x:f>'Calculs'!B117</x:f>
        <x:v>46286</x:v>
      </x:c>
      <x:c r="C102" s="30" t="str">
        <x:f>'Calculs'!C117</x:f>
        <x:v>FR0000121972</x:v>
      </x:c>
      <x:c r="D102" s="30" t="n">
        <x:f>'Calculs'!E117</x:f>
        <x:v>350</x:v>
      </x:c>
      <x:c r="E102" s="30" t="n">
        <x:f>'Calculs'!J117</x:f>
        <x:v>350</x:v>
      </x:c>
      <x:c r="F102" s="30" t="n">
        <x:f>'Calculs'!K117</x:f>
        <x:v>0</x:v>
      </x:c>
      <x:c r="G102" s="30" t="str">
        <x:f>'Calculs'!M117</x:f>
        <x:v>OK</x:v>
      </x:c>
      <x:c r="H102" s="30" t="str">
        <x:f>IF(B102&gt;'Pilotage'!$C$6,"",IF('Calculs'!N117&lt;&gt;1,"Positions absentes ou dupliquées",IF(F102&lt;&gt;0,"Écart titres",IF('Calculs'!L117&lt;&gt;"OK",'Calculs'!L117,IF(G102&lt;&gt;"OK",G102,"OK")))))</x:f>
        <x:v>OK</x:v>
      </x:c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31" t="n">
        <x:f>'Calculs'!B118</x:f>
        <x:v>46286</x:v>
      </x:c>
      <x:c r="C103" s="30" t="str">
        <x:f>'Calculs'!C118</x:f>
        <x:v>FR0000120644</x:v>
      </x:c>
      <x:c r="D103" s="30" t="n">
        <x:f>'Calculs'!E118</x:f>
        <x:v>1750</x:v>
      </x:c>
      <x:c r="E103" s="30" t="n">
        <x:f>'Calculs'!J118</x:f>
        <x:v>1750</x:v>
      </x:c>
      <x:c r="F103" s="30" t="n">
        <x:f>'Calculs'!K118</x:f>
        <x:v>0</x:v>
      </x:c>
      <x:c r="G103" s="30" t="str">
        <x:f>'Calculs'!M118</x:f>
        <x:v>OK</x:v>
      </x:c>
      <x:c r="H103" s="30" t="str">
        <x:f>IF(B103&gt;'Pilotage'!$C$6,"",IF('Calculs'!N118&lt;&gt;1,"Positions absentes ou dupliquées",IF(F103&lt;&gt;0,"Écart titres",IF('Calculs'!L118&lt;&gt;"OK",'Calculs'!L118,IF(G103&lt;&gt;"OK",G103,"OK")))))</x:f>
        <x:v>OK</x:v>
      </x:c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31" t="n">
        <x:f>'Calculs'!B119</x:f>
        <x:v>46286</x:v>
      </x:c>
      <x:c r="C104" s="30" t="str">
        <x:f>'Calculs'!C119</x:f>
        <x:v>FR0000125486</x:v>
      </x:c>
      <x:c r="D104" s="30" t="n">
        <x:f>'Calculs'!E119</x:f>
        <x:v>1000</x:v>
      </x:c>
      <x:c r="E104" s="30" t="n">
        <x:f>'Calculs'!J119</x:f>
        <x:v>1000</x:v>
      </x:c>
      <x:c r="F104" s="30" t="n">
        <x:f>'Calculs'!K119</x:f>
        <x:v>0</x:v>
      </x:c>
      <x:c r="G104" s="30" t="str">
        <x:f>'Calculs'!M119</x:f>
        <x:v>OK</x:v>
      </x:c>
      <x:c r="H104" s="30" t="str">
        <x:f>IF(B104&gt;'Pilotage'!$C$6,"",IF('Calculs'!N119&lt;&gt;1,"Positions absentes ou dupliquées",IF(F104&lt;&gt;0,"Écart titres",IF('Calculs'!L119&lt;&gt;"OK",'Calculs'!L119,IF(G104&lt;&gt;"OK",G104,"OK")))))</x:f>
        <x:v>OK</x:v>
      </x:c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31" t="n">
        <x:f>'Calculs'!B120</x:f>
        <x:v>46286</x:v>
      </x:c>
      <x:c r="C105" s="30" t="str">
        <x:f>'Calculs'!C120</x:f>
        <x:v>FR0000120321</x:v>
      </x:c>
      <x:c r="D105" s="30" t="n">
        <x:f>'Calculs'!E120</x:f>
        <x:v>300</x:v>
      </x:c>
      <x:c r="E105" s="30" t="n">
        <x:f>'Calculs'!J120</x:f>
        <x:v>300</x:v>
      </x:c>
      <x:c r="F105" s="30" t="n">
        <x:f>'Calculs'!K120</x:f>
        <x:v>0</x:v>
      </x:c>
      <x:c r="G105" s="30" t="str">
        <x:f>'Calculs'!M120</x:f>
        <x:v>OK</x:v>
      </x:c>
      <x:c r="H105" s="30" t="str">
        <x:f>IF(B105&gt;'Pilotage'!$C$6,"",IF('Calculs'!N120&lt;&gt;1,"Positions absentes ou dupliquées",IF(F105&lt;&gt;0,"Écart titres",IF('Calculs'!L120&lt;&gt;"OK",'Calculs'!L120,IF(G105&lt;&gt;"OK",G105,"OK")))))</x:f>
        <x:v>OK</x:v>
      </x:c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31" t="n">
        <x:f>'Calculs'!B121</x:f>
        <x:v>46287</x:v>
      </x:c>
      <x:c r="C106" s="30" t="str">
        <x:f>'Calculs'!C121</x:f>
        <x:v>FR0000120073</x:v>
      </x:c>
      <x:c r="D106" s="30" t="n">
        <x:f>'Calculs'!E121</x:f>
        <x:v>620</x:v>
      </x:c>
      <x:c r="E106" s="30" t="n">
        <x:f>'Calculs'!J121</x:f>
        <x:v>620</x:v>
      </x:c>
      <x:c r="F106" s="30" t="n">
        <x:f>'Calculs'!K121</x:f>
        <x:v>0</x:v>
      </x:c>
      <x:c r="G106" s="30" t="str">
        <x:f>'Calculs'!M121</x:f>
        <x:v>OK</x:v>
      </x:c>
      <x:c r="H106" s="30" t="str">
        <x:f>IF(B106&gt;'Pilotage'!$C$6,"",IF('Calculs'!N121&lt;&gt;1,"Positions absentes ou dupliquées",IF(F106&lt;&gt;0,"Écart titres",IF('Calculs'!L121&lt;&gt;"OK",'Calculs'!L121,IF(G106&lt;&gt;"OK",G106,"OK")))))</x:f>
        <x:v>OK</x:v>
      </x:c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31" t="n">
        <x:f>'Calculs'!B122</x:f>
        <x:v>46287</x:v>
      </x:c>
      <x:c r="C107" s="30" t="str">
        <x:f>'Calculs'!C122</x:f>
        <x:v>FR0000121972</x:v>
      </x:c>
      <x:c r="D107" s="30" t="n">
        <x:f>'Calculs'!E122</x:f>
        <x:v>410</x:v>
      </x:c>
      <x:c r="E107" s="30" t="n">
        <x:f>'Calculs'!J122</x:f>
        <x:v>410</x:v>
      </x:c>
      <x:c r="F107" s="30" t="n">
        <x:f>'Calculs'!K122</x:f>
        <x:v>0</x:v>
      </x:c>
      <x:c r="G107" s="30" t="str">
        <x:f>'Calculs'!M122</x:f>
        <x:v>OK</x:v>
      </x:c>
      <x:c r="H107" s="30" t="str">
        <x:f>IF(B107&gt;'Pilotage'!$C$6,"",IF('Calculs'!N122&lt;&gt;1,"Positions absentes ou dupliquées",IF(F107&lt;&gt;0,"Écart titres",IF('Calculs'!L122&lt;&gt;"OK",'Calculs'!L122,IF(G107&lt;&gt;"OK",G107,"OK")))))</x:f>
        <x:v>OK</x:v>
      </x:c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31" t="n">
        <x:f>'Calculs'!B123</x:f>
        <x:v>46287</x:v>
      </x:c>
      <x:c r="C108" s="30" t="str">
        <x:f>'Calculs'!C123</x:f>
        <x:v>FR0000120644</x:v>
      </x:c>
      <x:c r="D108" s="30" t="n">
        <x:f>'Calculs'!E123</x:f>
        <x:v>1750</x:v>
      </x:c>
      <x:c r="E108" s="30" t="n">
        <x:f>'Calculs'!J123</x:f>
        <x:v>1750</x:v>
      </x:c>
      <x:c r="F108" s="30" t="n">
        <x:f>'Calculs'!K123</x:f>
        <x:v>0</x:v>
      </x:c>
      <x:c r="G108" s="30" t="str">
        <x:f>'Calculs'!M123</x:f>
        <x:v>OK</x:v>
      </x:c>
      <x:c r="H108" s="30" t="str">
        <x:f>IF(B108&gt;'Pilotage'!$C$6,"",IF('Calculs'!N123&lt;&gt;1,"Positions absentes ou dupliquées",IF(F108&lt;&gt;0,"Écart titres",IF('Calculs'!L123&lt;&gt;"OK",'Calculs'!L123,IF(G108&lt;&gt;"OK",G108,"OK")))))</x:f>
        <x:v>OK</x:v>
      </x:c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31" t="n">
        <x:f>'Calculs'!B124</x:f>
        <x:v>46287</x:v>
      </x:c>
      <x:c r="C109" s="30" t="str">
        <x:f>'Calculs'!C124</x:f>
        <x:v>FR0000125486</x:v>
      </x:c>
      <x:c r="D109" s="30" t="n">
        <x:f>'Calculs'!E124</x:f>
        <x:v>900</x:v>
      </x:c>
      <x:c r="E109" s="30" t="n">
        <x:f>'Calculs'!J124</x:f>
        <x:v>900</x:v>
      </x:c>
      <x:c r="F109" s="30" t="n">
        <x:f>'Calculs'!K124</x:f>
        <x:v>0</x:v>
      </x:c>
      <x:c r="G109" s="30" t="str">
        <x:f>'Calculs'!M124</x:f>
        <x:v>OK</x:v>
      </x:c>
      <x:c r="H109" s="30" t="str">
        <x:f>IF(B109&gt;'Pilotage'!$C$6,"",IF('Calculs'!N124&lt;&gt;1,"Positions absentes ou dupliquées",IF(F109&lt;&gt;0,"Écart titres",IF('Calculs'!L124&lt;&gt;"OK",'Calculs'!L124,IF(G109&lt;&gt;"OK",G109,"OK")))))</x:f>
        <x:v>OK</x:v>
      </x:c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31" t="n">
        <x:f>'Calculs'!B125</x:f>
        <x:v>46287</x:v>
      </x:c>
      <x:c r="C110" s="30" t="str">
        <x:f>'Calculs'!C125</x:f>
        <x:v>FR0000120321</x:v>
      </x:c>
      <x:c r="D110" s="30" t="n">
        <x:f>'Calculs'!E125</x:f>
        <x:v>270</x:v>
      </x:c>
      <x:c r="E110" s="30" t="n">
        <x:f>'Calculs'!J125</x:f>
        <x:v>270</x:v>
      </x:c>
      <x:c r="F110" s="30" t="n">
        <x:f>'Calculs'!K125</x:f>
        <x:v>0</x:v>
      </x:c>
      <x:c r="G110" s="30" t="str">
        <x:f>'Calculs'!M125</x:f>
        <x:v>OK</x:v>
      </x:c>
      <x:c r="H110" s="30" t="str">
        <x:f>IF(B110&gt;'Pilotage'!$C$6,"",IF('Calculs'!N125&lt;&gt;1,"Positions absentes ou dupliquées",IF(F110&lt;&gt;0,"Écart titres",IF('Calculs'!L125&lt;&gt;"OK",'Calculs'!L125,IF(G110&lt;&gt;"OK",G110,"OK")))))</x:f>
        <x:v>OK</x:v>
      </x:c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31" t="n">
        <x:f>'Calculs'!B126</x:f>
        <x:v>46288</x:v>
      </x:c>
      <x:c r="C111" s="30" t="str">
        <x:f>'Calculs'!C126</x:f>
        <x:v>FR0000120073</x:v>
      </x:c>
      <x:c r="D111" s="30" t="n">
        <x:f>'Calculs'!E126</x:f>
        <x:v>690</x:v>
      </x:c>
      <x:c r="E111" s="30" t="n">
        <x:f>'Calculs'!J126</x:f>
        <x:v>690</x:v>
      </x:c>
      <x:c r="F111" s="30" t="n">
        <x:f>'Calculs'!K126</x:f>
        <x:v>0</x:v>
      </x:c>
      <x:c r="G111" s="30" t="str">
        <x:f>'Calculs'!M126</x:f>
        <x:v>OK</x:v>
      </x:c>
      <x:c r="H111" s="30" t="str">
        <x:f>IF(B111&gt;'Pilotage'!$C$6,"",IF('Calculs'!N126&lt;&gt;1,"Positions absentes ou dupliquées",IF(F111&lt;&gt;0,"Écart titres",IF('Calculs'!L126&lt;&gt;"OK",'Calculs'!L126,IF(G111&lt;&gt;"OK",G111,"OK")))))</x:f>
        <x:v>OK</x:v>
      </x:c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31" t="n">
        <x:f>'Calculs'!B127</x:f>
        <x:v>46288</x:v>
      </x:c>
      <x:c r="C112" s="30" t="str">
        <x:f>'Calculs'!C127</x:f>
        <x:v>FR0000121972</x:v>
      </x:c>
      <x:c r="D112" s="30" t="n">
        <x:f>'Calculs'!E127</x:f>
        <x:v>410</x:v>
      </x:c>
      <x:c r="E112" s="30" t="n">
        <x:f>'Calculs'!J127</x:f>
        <x:v>410</x:v>
      </x:c>
      <x:c r="F112" s="30" t="n">
        <x:f>'Calculs'!K127</x:f>
        <x:v>0</x:v>
      </x:c>
      <x:c r="G112" s="30" t="str">
        <x:f>'Calculs'!M127</x:f>
        <x:v>OK</x:v>
      </x:c>
      <x:c r="H112" s="30" t="str">
        <x:f>IF(B112&gt;'Pilotage'!$C$6,"",IF('Calculs'!N127&lt;&gt;1,"Positions absentes ou dupliquées",IF(F112&lt;&gt;0,"Écart titres",IF('Calculs'!L127&lt;&gt;"OK",'Calculs'!L127,IF(G112&lt;&gt;"OK",G112,"OK")))))</x:f>
        <x:v>OK</x:v>
      </x:c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31" t="n">
        <x:f>'Calculs'!B128</x:f>
        <x:v>46288</x:v>
      </x:c>
      <x:c r="C113" s="30" t="str">
        <x:f>'Calculs'!C128</x:f>
        <x:v>FR0000120644</x:v>
      </x:c>
      <x:c r="D113" s="30" t="n">
        <x:f>'Calculs'!E128</x:f>
        <x:v>1850</x:v>
      </x:c>
      <x:c r="E113" s="30" t="n">
        <x:f>'Calculs'!J128</x:f>
        <x:v>1850</x:v>
      </x:c>
      <x:c r="F113" s="30" t="n">
        <x:f>'Calculs'!K128</x:f>
        <x:v>0</x:v>
      </x:c>
      <x:c r="G113" s="30" t="str">
        <x:f>'Calculs'!M128</x:f>
        <x:v>OK</x:v>
      </x:c>
      <x:c r="H113" s="30" t="str">
        <x:f>IF(B113&gt;'Pilotage'!$C$6,"",IF('Calculs'!N128&lt;&gt;1,"Positions absentes ou dupliquées",IF(F113&lt;&gt;0,"Écart titres",IF('Calculs'!L128&lt;&gt;"OK",'Calculs'!L128,IF(G113&lt;&gt;"OK",G113,"OK")))))</x:f>
        <x:v>OK</x:v>
      </x:c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31" t="n">
        <x:f>'Calculs'!B129</x:f>
        <x:v>46288</x:v>
      </x:c>
      <x:c r="C114" s="30" t="str">
        <x:f>'Calculs'!C129</x:f>
        <x:v>FR0000125486</x:v>
      </x:c>
      <x:c r="D114" s="30" t="n">
        <x:f>'Calculs'!E129</x:f>
        <x:v>900</x:v>
      </x:c>
      <x:c r="E114" s="30" t="n">
        <x:f>'Calculs'!J129</x:f>
        <x:v>900</x:v>
      </x:c>
      <x:c r="F114" s="30" t="n">
        <x:f>'Calculs'!K129</x:f>
        <x:v>0</x:v>
      </x:c>
      <x:c r="G114" s="30" t="str">
        <x:f>'Calculs'!M129</x:f>
        <x:v>OK</x:v>
      </x:c>
      <x:c r="H114" s="30" t="str">
        <x:f>IF(B114&gt;'Pilotage'!$C$6,"",IF('Calculs'!N129&lt;&gt;1,"Positions absentes ou dupliquées",IF(F114&lt;&gt;0,"Écart titres",IF('Calculs'!L129&lt;&gt;"OK",'Calculs'!L129,IF(G114&lt;&gt;"OK",G114,"OK")))))</x:f>
        <x:v>OK</x:v>
      </x:c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31" t="n">
        <x:f>'Calculs'!B130</x:f>
        <x:v>46288</x:v>
      </x:c>
      <x:c r="C115" s="30" t="str">
        <x:f>'Calculs'!C130</x:f>
        <x:v>FR0000120321</x:v>
      </x:c>
      <x:c r="D115" s="30" t="n">
        <x:f>'Calculs'!E130</x:f>
        <x:v>270</x:v>
      </x:c>
      <x:c r="E115" s="30" t="n">
        <x:f>'Calculs'!J130</x:f>
        <x:v>270</x:v>
      </x:c>
      <x:c r="F115" s="30" t="n">
        <x:f>'Calculs'!K130</x:f>
        <x:v>0</x:v>
      </x:c>
      <x:c r="G115" s="30" t="str">
        <x:f>'Calculs'!M130</x:f>
        <x:v>OK</x:v>
      </x:c>
      <x:c r="H115" s="30" t="str">
        <x:f>IF(B115&gt;'Pilotage'!$C$6,"",IF('Calculs'!N130&lt;&gt;1,"Positions absentes ou dupliquées",IF(F115&lt;&gt;0,"Écart titres",IF('Calculs'!L130&lt;&gt;"OK",'Calculs'!L130,IF(G115&lt;&gt;"OK",G115,"OK")))))</x:f>
        <x:v>OK</x:v>
      </x:c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31" t="n">
        <x:f>'Calculs'!B131</x:f>
        <x:v>46289</x:v>
      </x:c>
      <x:c r="C116" s="30" t="str">
        <x:f>'Calculs'!C131</x:f>
        <x:v>FR0000120073</x:v>
      </x:c>
      <x:c r="D116" s="30" t="n">
        <x:f>'Calculs'!E131</x:f>
        <x:v>690</x:v>
      </x:c>
      <x:c r="E116" s="30" t="n">
        <x:f>'Calculs'!J131</x:f>
        <x:v>690</x:v>
      </x:c>
      <x:c r="F116" s="30" t="n">
        <x:f>'Calculs'!K131</x:f>
        <x:v>0</x:v>
      </x:c>
      <x:c r="G116" s="30" t="str">
        <x:f>'Calculs'!M131</x:f>
        <x:v>OK</x:v>
      </x:c>
      <x:c r="H116" s="30" t="str">
        <x:f>IF(B116&gt;'Pilotage'!$C$6,"",IF('Calculs'!N131&lt;&gt;1,"Positions absentes ou dupliquées",IF(F116&lt;&gt;0,"Écart titres",IF('Calculs'!L131&lt;&gt;"OK",'Calculs'!L131,IF(G116&lt;&gt;"OK",G116,"OK")))))</x:f>
        <x:v>OK</x:v>
      </x:c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31" t="n">
        <x:f>'Calculs'!B132</x:f>
        <x:v>46289</x:v>
      </x:c>
      <x:c r="C117" s="30" t="str">
        <x:f>'Calculs'!C132</x:f>
        <x:v>FR0000121972</x:v>
      </x:c>
      <x:c r="D117" s="30" t="n">
        <x:f>'Calculs'!E132</x:f>
        <x:v>410</x:v>
      </x:c>
      <x:c r="E117" s="30" t="n">
        <x:f>'Calculs'!J132</x:f>
        <x:v>410</x:v>
      </x:c>
      <x:c r="F117" s="30" t="n">
        <x:f>'Calculs'!K132</x:f>
        <x:v>0</x:v>
      </x:c>
      <x:c r="G117" s="30" t="str">
        <x:f>'Calculs'!M132</x:f>
        <x:v>OK</x:v>
      </x:c>
      <x:c r="H117" s="30" t="str">
        <x:f>IF(B117&gt;'Pilotage'!$C$6,"",IF('Calculs'!N132&lt;&gt;1,"Positions absentes ou dupliquées",IF(F117&lt;&gt;0,"Écart titres",IF('Calculs'!L132&lt;&gt;"OK",'Calculs'!L132,IF(G117&lt;&gt;"OK",G117,"OK")))))</x:f>
        <x:v>OK</x:v>
      </x:c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31" t="n">
        <x:f>'Calculs'!B133</x:f>
        <x:v>46289</x:v>
      </x:c>
      <x:c r="C118" s="30" t="str">
        <x:f>'Calculs'!C133</x:f>
        <x:v>FR0000120644</x:v>
      </x:c>
      <x:c r="D118" s="30" t="n">
        <x:f>'Calculs'!E133</x:f>
        <x:v>1850</x:v>
      </x:c>
      <x:c r="E118" s="30" t="n">
        <x:f>'Calculs'!J133</x:f>
        <x:v>1850</x:v>
      </x:c>
      <x:c r="F118" s="30" t="n">
        <x:f>'Calculs'!K133</x:f>
        <x:v>0</x:v>
      </x:c>
      <x:c r="G118" s="30" t="str">
        <x:f>'Calculs'!M133</x:f>
        <x:v>OK</x:v>
      </x:c>
      <x:c r="H118" s="30" t="str">
        <x:f>IF(B118&gt;'Pilotage'!$C$6,"",IF('Calculs'!N133&lt;&gt;1,"Positions absentes ou dupliquées",IF(F118&lt;&gt;0,"Écart titres",IF('Calculs'!L133&lt;&gt;"OK",'Calculs'!L133,IF(G118&lt;&gt;"OK",G118,"OK")))))</x:f>
        <x:v>OK</x:v>
      </x:c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31" t="n">
        <x:f>'Calculs'!B134</x:f>
        <x:v>46289</x:v>
      </x:c>
      <x:c r="C119" s="30" t="str">
        <x:f>'Calculs'!C134</x:f>
        <x:v>FR0000125486</x:v>
      </x:c>
      <x:c r="D119" s="30" t="n">
        <x:f>'Calculs'!E134</x:f>
        <x:v>850</x:v>
      </x:c>
      <x:c r="E119" s="30" t="n">
        <x:f>'Calculs'!J134</x:f>
        <x:v>850</x:v>
      </x:c>
      <x:c r="F119" s="30" t="n">
        <x:f>'Calculs'!K134</x:f>
        <x:v>0</x:v>
      </x:c>
      <x:c r="G119" s="30" t="str">
        <x:f>'Calculs'!M134</x:f>
        <x:v>OK</x:v>
      </x:c>
      <x:c r="H119" s="30" t="str">
        <x:f>IF(B119&gt;'Pilotage'!$C$6,"",IF('Calculs'!N134&lt;&gt;1,"Positions absentes ou dupliquées",IF(F119&lt;&gt;0,"Écart titres",IF('Calculs'!L134&lt;&gt;"OK",'Calculs'!L134,IF(G119&lt;&gt;"OK",G119,"OK")))))</x:f>
        <x:v>OK</x:v>
      </x:c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31" t="n">
        <x:f>'Calculs'!B135</x:f>
        <x:v>46289</x:v>
      </x:c>
      <x:c r="C120" s="30" t="str">
        <x:f>'Calculs'!C135</x:f>
        <x:v>FR0000120321</x:v>
      </x:c>
      <x:c r="D120" s="30" t="n">
        <x:f>'Calculs'!E135</x:f>
        <x:v>290</x:v>
      </x:c>
      <x:c r="E120" s="30" t="n">
        <x:f>'Calculs'!J135</x:f>
        <x:v>290</x:v>
      </x:c>
      <x:c r="F120" s="30" t="n">
        <x:f>'Calculs'!K135</x:f>
        <x:v>0</x:v>
      </x:c>
      <x:c r="G120" s="30" t="str">
        <x:f>'Calculs'!M135</x:f>
        <x:v>OK</x:v>
      </x:c>
      <x:c r="H120" s="30" t="str">
        <x:f>IF(B120&gt;'Pilotage'!$C$6,"",IF('Calculs'!N135&lt;&gt;1,"Positions absentes ou dupliquées",IF(F120&lt;&gt;0,"Écart titres",IF('Calculs'!L135&lt;&gt;"OK",'Calculs'!L135,IF(G120&lt;&gt;"OK",G120,"OK")))))</x:f>
        <x:v>OK</x:v>
      </x:c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31" t="n">
        <x:f>'Calculs'!B136</x:f>
        <x:v>46290</x:v>
      </x:c>
      <x:c r="C121" s="30" t="str">
        <x:f>'Calculs'!C136</x:f>
        <x:v>FR0000120073</x:v>
      </x:c>
      <x:c r="D121" s="30" t="n">
        <x:f>'Calculs'!E136</x:f>
        <x:v>720</x:v>
      </x:c>
      <x:c r="E121" s="30" t="n">
        <x:f>'Calculs'!J136</x:f>
        <x:v>720</x:v>
      </x:c>
      <x:c r="F121" s="30" t="n">
        <x:f>'Calculs'!K136</x:f>
        <x:v>0</x:v>
      </x:c>
      <x:c r="G121" s="30" t="str">
        <x:f>'Calculs'!M136</x:f>
        <x:v>OK</x:v>
      </x:c>
      <x:c r="H121" s="30" t="str">
        <x:f>IF(B121&gt;'Pilotage'!$C$6,"",IF('Calculs'!N136&lt;&gt;1,"Positions absentes ou dupliquées",IF(F121&lt;&gt;0,"Écart titres",IF('Calculs'!L136&lt;&gt;"OK",'Calculs'!L136,IF(G121&lt;&gt;"OK",G121,"OK")))))</x:f>
        <x:v>OK</x:v>
      </x:c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31" t="n">
        <x:f>'Calculs'!B137</x:f>
        <x:v>46290</x:v>
      </x:c>
      <x:c r="C122" s="30" t="str">
        <x:f>'Calculs'!C137</x:f>
        <x:v>FR0000121972</x:v>
      </x:c>
      <x:c r="D122" s="30" t="n">
        <x:f>'Calculs'!E137</x:f>
        <x:v>450</x:v>
      </x:c>
      <x:c r="E122" s="30" t="n">
        <x:f>'Calculs'!J137</x:f>
        <x:v>450</x:v>
      </x:c>
      <x:c r="F122" s="30" t="n">
        <x:f>'Calculs'!K137</x:f>
        <x:v>0</x:v>
      </x:c>
      <x:c r="G122" s="30" t="str">
        <x:f>'Calculs'!M137</x:f>
        <x:v>OK</x:v>
      </x:c>
      <x:c r="H122" s="30" t="str">
        <x:f>IF(B122&gt;'Pilotage'!$C$6,"",IF('Calculs'!N137&lt;&gt;1,"Positions absentes ou dupliquées",IF(F122&lt;&gt;0,"Écart titres",IF('Calculs'!L137&lt;&gt;"OK",'Calculs'!L137,IF(G122&lt;&gt;"OK",G122,"OK")))))</x:f>
        <x:v>OK</x:v>
      </x:c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31" t="n">
        <x:f>'Calculs'!B138</x:f>
        <x:v>46290</x:v>
      </x:c>
      <x:c r="C123" s="30" t="str">
        <x:f>'Calculs'!C138</x:f>
        <x:v>FR0000120644</x:v>
      </x:c>
      <x:c r="D123" s="30" t="n">
        <x:f>'Calculs'!E138</x:f>
        <x:v>1775</x:v>
      </x:c>
      <x:c r="E123" s="30" t="n">
        <x:f>'Calculs'!J138</x:f>
        <x:v>1775</x:v>
      </x:c>
      <x:c r="F123" s="30" t="n">
        <x:f>'Calculs'!K138</x:f>
        <x:v>0</x:v>
      </x:c>
      <x:c r="G123" s="30" t="str">
        <x:f>'Calculs'!M138</x:f>
        <x:v>OK</x:v>
      </x:c>
      <x:c r="H123" s="30" t="str">
        <x:f>IF(B123&gt;'Pilotage'!$C$6,"",IF('Calculs'!N138&lt;&gt;1,"Positions absentes ou dupliquées",IF(F123&lt;&gt;0,"Écart titres",IF('Calculs'!L138&lt;&gt;"OK",'Calculs'!L138,IF(G123&lt;&gt;"OK",G123,"OK")))))</x:f>
        <x:v>OK</x:v>
      </x:c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31" t="n">
        <x:f>'Calculs'!B139</x:f>
        <x:v>46290</x:v>
      </x:c>
      <x:c r="C124" s="30" t="str">
        <x:f>'Calculs'!C139</x:f>
        <x:v>FR0000125486</x:v>
      </x:c>
      <x:c r="D124" s="30" t="n">
        <x:f>'Calculs'!E139</x:f>
        <x:v>850</x:v>
      </x:c>
      <x:c r="E124" s="30" t="n">
        <x:f>'Calculs'!J139</x:f>
        <x:v>850</x:v>
      </x:c>
      <x:c r="F124" s="30" t="n">
        <x:f>'Calculs'!K139</x:f>
        <x:v>0</x:v>
      </x:c>
      <x:c r="G124" s="30" t="str">
        <x:f>'Calculs'!M139</x:f>
        <x:v>OK</x:v>
      </x:c>
      <x:c r="H124" s="30" t="str">
        <x:f>IF(B124&gt;'Pilotage'!$C$6,"",IF('Calculs'!N139&lt;&gt;1,"Positions absentes ou dupliquées",IF(F124&lt;&gt;0,"Écart titres",IF('Calculs'!L139&lt;&gt;"OK",'Calculs'!L139,IF(G124&lt;&gt;"OK",G124,"OK")))))</x:f>
        <x:v>OK</x:v>
      </x:c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31" t="n">
        <x:f>'Calculs'!B140</x:f>
        <x:v>46290</x:v>
      </x:c>
      <x:c r="C125" s="30" t="str">
        <x:f>'Calculs'!C140</x:f>
        <x:v>FR0000120321</x:v>
      </x:c>
      <x:c r="D125" s="30" t="n">
        <x:f>'Calculs'!E140</x:f>
        <x:v>290</x:v>
      </x:c>
      <x:c r="E125" s="30" t="n">
        <x:f>'Calculs'!J140</x:f>
        <x:v>290</x:v>
      </x:c>
      <x:c r="F125" s="30" t="n">
        <x:f>'Calculs'!K140</x:f>
        <x:v>0</x:v>
      </x:c>
      <x:c r="G125" s="30" t="str">
        <x:f>'Calculs'!M140</x:f>
        <x:v>OK</x:v>
      </x:c>
      <x:c r="H125" s="30" t="str">
        <x:f>IF(B125&gt;'Pilotage'!$C$6,"",IF('Calculs'!N140&lt;&gt;1,"Positions absentes ou dupliquées",IF(F125&lt;&gt;0,"Écart titres",IF('Calculs'!L140&lt;&gt;"OK",'Calculs'!L140,IF(G125&lt;&gt;"OK",G125,"OK")))))</x:f>
        <x:v>OK</x:v>
      </x:c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31" t="n">
        <x:f>'Calculs'!B141</x:f>
        <x:v>46293</x:v>
      </x:c>
      <x:c r="C126" s="30" t="str">
        <x:f>'Calculs'!C141</x:f>
        <x:v>FR0000120073</x:v>
      </x:c>
      <x:c r="D126" s="30" t="n">
        <x:f>'Calculs'!E141</x:f>
        <x:v>720</x:v>
      </x:c>
      <x:c r="E126" s="30" t="str">
        <x:f>'Calculs'!J141</x:f>
        <x:v>n.d.</x:v>
      </x:c>
      <x:c r="F126" s="30" t="str">
        <x:f>'Calculs'!K141</x:f>
        <x:v>n.d.</x:v>
      </x:c>
      <x:c r="G126" s="30" t="str">
        <x:f>'Calculs'!M141</x:f>
        <x:v>Clé cours absente/dupliquée</x:v>
      </x:c>
      <x:c r="H126" s="30" t="str">
        <x:f>IF(B126&gt;'Pilotage'!$C$6,"",IF('Calculs'!N141&lt;&gt;1,"Positions absentes ou dupliquées",IF(F126&lt;&gt;0,"Écart titres",IF('Calculs'!L141&lt;&gt;"OK",'Calculs'!L141,IF(G126&lt;&gt;"OK",G126,"OK")))))</x:f>
      </x:c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31" t="n">
        <x:f>'Calculs'!B142</x:f>
        <x:v>46293</x:v>
      </x:c>
      <x:c r="C127" s="30" t="str">
        <x:f>'Calculs'!C142</x:f>
        <x:v>FR0000121972</x:v>
      </x:c>
      <x:c r="D127" s="30" t="n">
        <x:f>'Calculs'!E142</x:f>
        <x:v>425</x:v>
      </x:c>
      <x:c r="E127" s="30" t="str">
        <x:f>'Calculs'!J142</x:f>
        <x:v>n.d.</x:v>
      </x:c>
      <x:c r="F127" s="30" t="str">
        <x:f>'Calculs'!K142</x:f>
        <x:v>n.d.</x:v>
      </x:c>
      <x:c r="G127" s="30" t="str">
        <x:f>'Calculs'!M142</x:f>
        <x:v>Clé cours absente/dupliquée</x:v>
      </x:c>
      <x:c r="H127" s="30" t="str">
        <x:f>IF(B127&gt;'Pilotage'!$C$6,"",IF('Calculs'!N142&lt;&gt;1,"Positions absentes ou dupliquées",IF(F127&lt;&gt;0,"Écart titres",IF('Calculs'!L142&lt;&gt;"OK",'Calculs'!L142,IF(G127&lt;&gt;"OK",G127,"OK")))))</x:f>
      </x:c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31" t="n">
        <x:f>'Calculs'!B143</x:f>
        <x:v>46293</x:v>
      </x:c>
      <x:c r="C128" s="30" t="str">
        <x:f>'Calculs'!C143</x:f>
        <x:v>FR0000120644</x:v>
      </x:c>
      <x:c r="D128" s="30" t="n">
        <x:f>'Calculs'!E143</x:f>
        <x:v>1775</x:v>
      </x:c>
      <x:c r="E128" s="30" t="str">
        <x:f>'Calculs'!J143</x:f>
        <x:v>n.d.</x:v>
      </x:c>
      <x:c r="F128" s="30" t="str">
        <x:f>'Calculs'!K143</x:f>
        <x:v>n.d.</x:v>
      </x:c>
      <x:c r="G128" s="30" t="str">
        <x:f>'Calculs'!M143</x:f>
        <x:v>Clé cours absente/dupliquée</x:v>
      </x:c>
      <x:c r="H128" s="30" t="str">
        <x:f>IF(B128&gt;'Pilotage'!$C$6,"",IF('Calculs'!N143&lt;&gt;1,"Positions absentes ou dupliquées",IF(F128&lt;&gt;0,"Écart titres",IF('Calculs'!L143&lt;&gt;"OK",'Calculs'!L143,IF(G128&lt;&gt;"OK",G128,"OK")))))</x:f>
      </x:c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31" t="n">
        <x:f>'Calculs'!B144</x:f>
        <x:v>46293</x:v>
      </x:c>
      <x:c r="C129" s="30" t="str">
        <x:f>'Calculs'!C144</x:f>
        <x:v>FR0000125486</x:v>
      </x:c>
      <x:c r="D129" s="30" t="n">
        <x:f>'Calculs'!E144</x:f>
        <x:v>930</x:v>
      </x:c>
      <x:c r="E129" s="30" t="str">
        <x:f>'Calculs'!J144</x:f>
        <x:v>n.d.</x:v>
      </x:c>
      <x:c r="F129" s="30" t="str">
        <x:f>'Calculs'!K144</x:f>
        <x:v>n.d.</x:v>
      </x:c>
      <x:c r="G129" s="30" t="str">
        <x:f>'Calculs'!M144</x:f>
        <x:v>Clé cours absente/dupliquée</x:v>
      </x:c>
      <x:c r="H129" s="30" t="str">
        <x:f>IF(B129&gt;'Pilotage'!$C$6,"",IF('Calculs'!N144&lt;&gt;1,"Positions absentes ou dupliquées",IF(F129&lt;&gt;0,"Écart titres",IF('Calculs'!L144&lt;&gt;"OK",'Calculs'!L144,IF(G129&lt;&gt;"OK",G129,"OK")))))</x:f>
      </x:c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31" t="n">
        <x:f>'Calculs'!B145</x:f>
        <x:v>46293</x:v>
      </x:c>
      <x:c r="C130" s="30" t="str">
        <x:f>'Calculs'!C145</x:f>
        <x:v>FR0000120321</x:v>
      </x:c>
      <x:c r="D130" s="30" t="n">
        <x:f>'Calculs'!E145</x:f>
        <x:v>290</x:v>
      </x:c>
      <x:c r="E130" s="30" t="str">
        <x:f>'Calculs'!J145</x:f>
        <x:v>n.d.</x:v>
      </x:c>
      <x:c r="F130" s="30" t="str">
        <x:f>'Calculs'!K145</x:f>
        <x:v>n.d.</x:v>
      </x:c>
      <x:c r="G130" s="30" t="str">
        <x:f>'Calculs'!M145</x:f>
        <x:v>Clé cours absente/dupliquée</x:v>
      </x:c>
      <x:c r="H130" s="30" t="str">
        <x:f>IF(B130&gt;'Pilotage'!$C$6,"",IF('Calculs'!N145&lt;&gt;1,"Positions absentes ou dupliquées",IF(F130&lt;&gt;0,"Écart titres",IF('Calculs'!L145&lt;&gt;"OK",'Calculs'!L145,IF(G130&lt;&gt;"OK",G130,"OK")))))</x:f>
      </x:c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31" t="n">
        <x:f>'Calculs'!B146</x:f>
        <x:v>46294</x:v>
      </x:c>
      <x:c r="C131" s="30" t="str">
        <x:f>'Calculs'!C146</x:f>
        <x:v>FR0000120073</x:v>
      </x:c>
      <x:c r="D131" s="30" t="n">
        <x:f>'Calculs'!E146</x:f>
        <x:v>720</x:v>
      </x:c>
      <x:c r="E131" s="30" t="str">
        <x:f>'Calculs'!J146</x:f>
        <x:v>n.d.</x:v>
      </x:c>
      <x:c r="F131" s="30" t="str">
        <x:f>'Calculs'!K146</x:f>
        <x:v>n.d.</x:v>
      </x:c>
      <x:c r="G131" s="30" t="str">
        <x:f>'Calculs'!M146</x:f>
        <x:v>Clé cours absente/dupliquée</x:v>
      </x:c>
      <x:c r="H131" s="30" t="str">
        <x:f>IF(B131&gt;'Pilotage'!$C$6,"",IF('Calculs'!N146&lt;&gt;1,"Positions absentes ou dupliquées",IF(F131&lt;&gt;0,"Écart titres",IF('Calculs'!L146&lt;&gt;"OK",'Calculs'!L146,IF(G131&lt;&gt;"OK",G131,"OK")))))</x:f>
      </x:c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31" t="n">
        <x:f>'Calculs'!B147</x:f>
        <x:v>46294</x:v>
      </x:c>
      <x:c r="C132" s="30" t="str">
        <x:f>'Calculs'!C147</x:f>
        <x:v>FR0000121972</x:v>
      </x:c>
      <x:c r="D132" s="30" t="n">
        <x:f>'Calculs'!E147</x:f>
        <x:v>425</x:v>
      </x:c>
      <x:c r="E132" s="30" t="str">
        <x:f>'Calculs'!J147</x:f>
        <x:v>n.d.</x:v>
      </x:c>
      <x:c r="F132" s="30" t="str">
        <x:f>'Calculs'!K147</x:f>
        <x:v>n.d.</x:v>
      </x:c>
      <x:c r="G132" s="30" t="str">
        <x:f>'Calculs'!M147</x:f>
        <x:v>Clé cours absente/dupliquée</x:v>
      </x:c>
      <x:c r="H132" s="30" t="str">
        <x:f>IF(B132&gt;'Pilotage'!$C$6,"",IF('Calculs'!N147&lt;&gt;1,"Positions absentes ou dupliquées",IF(F132&lt;&gt;0,"Écart titres",IF('Calculs'!L147&lt;&gt;"OK",'Calculs'!L147,IF(G132&lt;&gt;"OK",G132,"OK")))))</x:f>
      </x:c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31" t="n">
        <x:f>'Calculs'!B148</x:f>
        <x:v>46294</x:v>
      </x:c>
      <x:c r="C133" s="30" t="str">
        <x:f>'Calculs'!C148</x:f>
        <x:v>FR0000120644</x:v>
      </x:c>
      <x:c r="D133" s="30" t="n">
        <x:f>'Calculs'!E148</x:f>
        <x:v>1775</x:v>
      </x:c>
      <x:c r="E133" s="30" t="str">
        <x:f>'Calculs'!J148</x:f>
        <x:v>n.d.</x:v>
      </x:c>
      <x:c r="F133" s="30" t="str">
        <x:f>'Calculs'!K148</x:f>
        <x:v>n.d.</x:v>
      </x:c>
      <x:c r="G133" s="30" t="str">
        <x:f>'Calculs'!M148</x:f>
        <x:v>Clé cours absente/dupliquée</x:v>
      </x:c>
      <x:c r="H133" s="30" t="str">
        <x:f>IF(B133&gt;'Pilotage'!$C$6,"",IF('Calculs'!N148&lt;&gt;1,"Positions absentes ou dupliquées",IF(F133&lt;&gt;0,"Écart titres",IF('Calculs'!L148&lt;&gt;"OK",'Calculs'!L148,IF(G133&lt;&gt;"OK",G133,"OK")))))</x:f>
      </x:c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31" t="n">
        <x:f>'Calculs'!B149</x:f>
        <x:v>46294</x:v>
      </x:c>
      <x:c r="C134" s="30" t="str">
        <x:f>'Calculs'!C149</x:f>
        <x:v>FR0000125486</x:v>
      </x:c>
      <x:c r="D134" s="30" t="n">
        <x:f>'Calculs'!E149</x:f>
        <x:v>930</x:v>
      </x:c>
      <x:c r="E134" s="30" t="str">
        <x:f>'Calculs'!J149</x:f>
        <x:v>n.d.</x:v>
      </x:c>
      <x:c r="F134" s="30" t="str">
        <x:f>'Calculs'!K149</x:f>
        <x:v>n.d.</x:v>
      </x:c>
      <x:c r="G134" s="30" t="str">
        <x:f>'Calculs'!M149</x:f>
        <x:v>Clé cours absente/dupliquée</x:v>
      </x:c>
      <x:c r="H134" s="30" t="str">
        <x:f>IF(B134&gt;'Pilotage'!$C$6,"",IF('Calculs'!N149&lt;&gt;1,"Positions absentes ou dupliquées",IF(F134&lt;&gt;0,"Écart titres",IF('Calculs'!L149&lt;&gt;"OK",'Calculs'!L149,IF(G134&lt;&gt;"OK",G134,"OK")))))</x:f>
      </x:c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31" t="n">
        <x:f>'Calculs'!B150</x:f>
        <x:v>46294</x:v>
      </x:c>
      <x:c r="C135" s="30" t="str">
        <x:f>'Calculs'!C150</x:f>
        <x:v>FR0000120321</x:v>
      </x:c>
      <x:c r="D135" s="30" t="n">
        <x:f>'Calculs'!E150</x:f>
        <x:v>275</x:v>
      </x:c>
      <x:c r="E135" s="30" t="str">
        <x:f>'Calculs'!J150</x:f>
        <x:v>n.d.</x:v>
      </x:c>
      <x:c r="F135" s="30" t="str">
        <x:f>'Calculs'!K150</x:f>
        <x:v>n.d.</x:v>
      </x:c>
      <x:c r="G135" s="30" t="str">
        <x:f>'Calculs'!M150</x:f>
        <x:v>Clé cours absente/dupliquée</x:v>
      </x:c>
      <x:c r="H135" s="30" t="str">
        <x:f>IF(B135&gt;'Pilotage'!$C$6,"",IF('Calculs'!N150&lt;&gt;1,"Positions absentes ou dupliquées",IF(F135&lt;&gt;0,"Écart titres",IF('Calculs'!L150&lt;&gt;"OK",'Calculs'!L150,IF(G135&lt;&gt;"OK",G135,"OK")))))</x:f>
      </x:c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31" t="n">
        <x:f>'Calculs'!B151</x:f>
        <x:v>46295</x:v>
      </x:c>
      <x:c r="C136" s="30" t="str">
        <x:f>'Calculs'!C151</x:f>
        <x:v>FR0000120073</x:v>
      </x:c>
      <x:c r="D136" s="30" t="n">
        <x:f>'Calculs'!E151</x:f>
        <x:v>720</x:v>
      </x:c>
      <x:c r="E136" s="30" t="str">
        <x:f>'Calculs'!J151</x:f>
        <x:v>n.d.</x:v>
      </x:c>
      <x:c r="F136" s="30" t="str">
        <x:f>'Calculs'!K151</x:f>
        <x:v>n.d.</x:v>
      </x:c>
      <x:c r="G136" s="30" t="str">
        <x:f>'Calculs'!M151</x:f>
        <x:v>Clé cours absente/dupliquée</x:v>
      </x:c>
      <x:c r="H136" s="30" t="str">
        <x:f>IF(B136&gt;'Pilotage'!$C$6,"",IF('Calculs'!N151&lt;&gt;1,"Positions absentes ou dupliquées",IF(F136&lt;&gt;0,"Écart titres",IF('Calculs'!L151&lt;&gt;"OK",'Calculs'!L151,IF(G136&lt;&gt;"OK",G136,"OK")))))</x:f>
      </x:c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31" t="n">
        <x:f>'Calculs'!B152</x:f>
        <x:v>46295</x:v>
      </x:c>
      <x:c r="C137" s="30" t="str">
        <x:f>'Calculs'!C152</x:f>
        <x:v>FR0000121972</x:v>
      </x:c>
      <x:c r="D137" s="30" t="n">
        <x:f>'Calculs'!E152</x:f>
        <x:v>425</x:v>
      </x:c>
      <x:c r="E137" s="30" t="str">
        <x:f>'Calculs'!J152</x:f>
        <x:v>n.d.</x:v>
      </x:c>
      <x:c r="F137" s="30" t="str">
        <x:f>'Calculs'!K152</x:f>
        <x:v>n.d.</x:v>
      </x:c>
      <x:c r="G137" s="30" t="str">
        <x:f>'Calculs'!M152</x:f>
        <x:v>Clé cours absente/dupliquée</x:v>
      </x:c>
      <x:c r="H137" s="30" t="str">
        <x:f>IF(B137&gt;'Pilotage'!$C$6,"",IF('Calculs'!N152&lt;&gt;1,"Positions absentes ou dupliquées",IF(F137&lt;&gt;0,"Écart titres",IF('Calculs'!L152&lt;&gt;"OK",'Calculs'!L152,IF(G137&lt;&gt;"OK",G137,"OK")))))</x:f>
      </x:c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31" t="n">
        <x:f>'Calculs'!B153</x:f>
        <x:v>46295</x:v>
      </x:c>
      <x:c r="C138" s="30" t="str">
        <x:f>'Calculs'!C153</x:f>
        <x:v>FR0000120644</x:v>
      </x:c>
      <x:c r="D138" s="30" t="n">
        <x:f>'Calculs'!E153</x:f>
        <x:v>1775</x:v>
      </x:c>
      <x:c r="E138" s="30" t="str">
        <x:f>'Calculs'!J153</x:f>
        <x:v>n.d.</x:v>
      </x:c>
      <x:c r="F138" s="30" t="str">
        <x:f>'Calculs'!K153</x:f>
        <x:v>n.d.</x:v>
      </x:c>
      <x:c r="G138" s="30" t="str">
        <x:f>'Calculs'!M153</x:f>
        <x:v>Clé cours absente/dupliquée</x:v>
      </x:c>
      <x:c r="H138" s="30" t="str">
        <x:f>IF(B138&gt;'Pilotage'!$C$6,"",IF('Calculs'!N153&lt;&gt;1,"Positions absentes ou dupliquées",IF(F138&lt;&gt;0,"Écart titres",IF('Calculs'!L153&lt;&gt;"OK",'Calculs'!L153,IF(G138&lt;&gt;"OK",G138,"OK")))))</x:f>
      </x:c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31" t="n">
        <x:f>'Calculs'!B154</x:f>
        <x:v>46295</x:v>
      </x:c>
      <x:c r="C139" s="30" t="str">
        <x:f>'Calculs'!C154</x:f>
        <x:v>FR0000125486</x:v>
      </x:c>
      <x:c r="D139" s="30" t="n">
        <x:f>'Calculs'!E154</x:f>
        <x:v>930</x:v>
      </x:c>
      <x:c r="E139" s="30" t="str">
        <x:f>'Calculs'!J154</x:f>
        <x:v>n.d.</x:v>
      </x:c>
      <x:c r="F139" s="30" t="str">
        <x:f>'Calculs'!K154</x:f>
        <x:v>n.d.</x:v>
      </x:c>
      <x:c r="G139" s="30" t="str">
        <x:f>'Calculs'!M154</x:f>
        <x:v>Clé cours absente/dupliquée</x:v>
      </x:c>
      <x:c r="H139" s="30" t="str">
        <x:f>IF(B139&gt;'Pilotage'!$C$6,"",IF('Calculs'!N154&lt;&gt;1,"Positions absentes ou dupliquées",IF(F139&lt;&gt;0,"Écart titres",IF('Calculs'!L154&lt;&gt;"OK",'Calculs'!L154,IF(G139&lt;&gt;"OK",G139,"OK")))))</x:f>
      </x:c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31" t="n">
        <x:f>'Calculs'!B155</x:f>
        <x:v>46295</x:v>
      </x:c>
      <x:c r="C140" s="30" t="str">
        <x:f>'Calculs'!C155</x:f>
        <x:v>FR0000120321</x:v>
      </x:c>
      <x:c r="D140" s="30" t="n">
        <x:f>'Calculs'!E155</x:f>
        <x:v>275</x:v>
      </x:c>
      <x:c r="E140" s="30" t="str">
        <x:f>'Calculs'!J155</x:f>
        <x:v>n.d.</x:v>
      </x:c>
      <x:c r="F140" s="30" t="str">
        <x:f>'Calculs'!K155</x:f>
        <x:v>n.d.</x:v>
      </x:c>
      <x:c r="G140" s="30" t="str">
        <x:f>'Calculs'!M155</x:f>
        <x:v>Clé cours absente/dupliquée</x:v>
      </x:c>
      <x:c r="H140" s="30" t="str">
        <x:f>IF(B140&gt;'Pilotage'!$C$6,"",IF('Calculs'!N155&lt;&gt;1,"Positions absentes ou dupliquées",IF(F140&lt;&gt;0,"Écart titres",IF('Calculs'!L155&lt;&gt;"OK",'Calculs'!L155,IF(G140&lt;&gt;"OK",G140,"OK")))))</x:f>
      </x:c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31" t="n">
        <x:f>'Calculs'!B156</x:f>
        <x:v>46296</x:v>
      </x:c>
      <x:c r="C141" s="30" t="str">
        <x:f>'Calculs'!C156</x:f>
        <x:v>FR0000120073</x:v>
      </x:c>
      <x:c r="D141" s="30" t="n">
        <x:f>'Calculs'!E156</x:f>
        <x:v>720</x:v>
      </x:c>
      <x:c r="E141" s="30" t="str">
        <x:f>'Calculs'!J156</x:f>
        <x:v>n.d.</x:v>
      </x:c>
      <x:c r="F141" s="30" t="str">
        <x:f>'Calculs'!K156</x:f>
        <x:v>n.d.</x:v>
      </x:c>
      <x:c r="G141" s="30" t="str">
        <x:f>'Calculs'!M156</x:f>
        <x:v>Clé cours absente/dupliquée</x:v>
      </x:c>
      <x:c r="H141" s="30" t="str">
        <x:f>IF(B141&gt;'Pilotage'!$C$6,"",IF('Calculs'!N156&lt;&gt;1,"Positions absentes ou dupliquées",IF(F141&lt;&gt;0,"Écart titres",IF('Calculs'!L156&lt;&gt;"OK",'Calculs'!L156,IF(G141&lt;&gt;"OK",G141,"OK")))))</x:f>
      </x:c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31" t="n">
        <x:f>'Calculs'!B157</x:f>
        <x:v>46296</x:v>
      </x:c>
      <x:c r="C142" s="30" t="str">
        <x:f>'Calculs'!C157</x:f>
        <x:v>FR0000121972</x:v>
      </x:c>
      <x:c r="D142" s="30" t="n">
        <x:f>'Calculs'!E157</x:f>
        <x:v>425</x:v>
      </x:c>
      <x:c r="E142" s="30" t="str">
        <x:f>'Calculs'!J157</x:f>
        <x:v>n.d.</x:v>
      </x:c>
      <x:c r="F142" s="30" t="str">
        <x:f>'Calculs'!K157</x:f>
        <x:v>n.d.</x:v>
      </x:c>
      <x:c r="G142" s="30" t="str">
        <x:f>'Calculs'!M157</x:f>
        <x:v>Clé cours absente/dupliquée</x:v>
      </x:c>
      <x:c r="H142" s="30" t="str">
        <x:f>IF(B142&gt;'Pilotage'!$C$6,"",IF('Calculs'!N157&lt;&gt;1,"Positions absentes ou dupliquées",IF(F142&lt;&gt;0,"Écart titres",IF('Calculs'!L157&lt;&gt;"OK",'Calculs'!L157,IF(G142&lt;&gt;"OK",G142,"OK")))))</x:f>
      </x:c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31" t="n">
        <x:f>'Calculs'!B158</x:f>
        <x:v>46296</x:v>
      </x:c>
      <x:c r="C143" s="30" t="str">
        <x:f>'Calculs'!C158</x:f>
        <x:v>FR0000120644</x:v>
      </x:c>
      <x:c r="D143" s="30" t="n">
        <x:f>'Calculs'!E158</x:f>
        <x:v>1775</x:v>
      </x:c>
      <x:c r="E143" s="30" t="str">
        <x:f>'Calculs'!J158</x:f>
        <x:v>n.d.</x:v>
      </x:c>
      <x:c r="F143" s="30" t="str">
        <x:f>'Calculs'!K158</x:f>
        <x:v>n.d.</x:v>
      </x:c>
      <x:c r="G143" s="30" t="str">
        <x:f>'Calculs'!M158</x:f>
        <x:v>Clé cours absente/dupliquée</x:v>
      </x:c>
      <x:c r="H143" s="30" t="str">
        <x:f>IF(B143&gt;'Pilotage'!$C$6,"",IF('Calculs'!N158&lt;&gt;1,"Positions absentes ou dupliquées",IF(F143&lt;&gt;0,"Écart titres",IF('Calculs'!L158&lt;&gt;"OK",'Calculs'!L158,IF(G143&lt;&gt;"OK",G143,"OK")))))</x:f>
      </x:c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31" t="n">
        <x:f>'Calculs'!B159</x:f>
        <x:v>46296</x:v>
      </x:c>
      <x:c r="C144" s="30" t="str">
        <x:f>'Calculs'!C159</x:f>
        <x:v>FR0000125486</x:v>
      </x:c>
      <x:c r="D144" s="30" t="n">
        <x:f>'Calculs'!E159</x:f>
        <x:v>930</x:v>
      </x:c>
      <x:c r="E144" s="30" t="str">
        <x:f>'Calculs'!J159</x:f>
        <x:v>n.d.</x:v>
      </x:c>
      <x:c r="F144" s="30" t="str">
        <x:f>'Calculs'!K159</x:f>
        <x:v>n.d.</x:v>
      </x:c>
      <x:c r="G144" s="30" t="str">
        <x:f>'Calculs'!M159</x:f>
        <x:v>Clé cours absente/dupliquée</x:v>
      </x:c>
      <x:c r="H144" s="30" t="str">
        <x:f>IF(B144&gt;'Pilotage'!$C$6,"",IF('Calculs'!N159&lt;&gt;1,"Positions absentes ou dupliquées",IF(F144&lt;&gt;0,"Écart titres",IF('Calculs'!L159&lt;&gt;"OK",'Calculs'!L159,IF(G144&lt;&gt;"OK",G144,"OK")))))</x:f>
      </x:c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31" t="n">
        <x:f>'Calculs'!B160</x:f>
        <x:v>46296</x:v>
      </x:c>
      <x:c r="C145" s="30" t="str">
        <x:f>'Calculs'!C160</x:f>
        <x:v>FR0000120321</x:v>
      </x:c>
      <x:c r="D145" s="30" t="n">
        <x:f>'Calculs'!E160</x:f>
        <x:v>275</x:v>
      </x:c>
      <x:c r="E145" s="30" t="str">
        <x:f>'Calculs'!J160</x:f>
        <x:v>n.d.</x:v>
      </x:c>
      <x:c r="F145" s="30" t="str">
        <x:f>'Calculs'!K160</x:f>
        <x:v>n.d.</x:v>
      </x:c>
      <x:c r="G145" s="30" t="str">
        <x:f>'Calculs'!M160</x:f>
        <x:v>Clé cours absente/dupliquée</x:v>
      </x:c>
      <x:c r="H145" s="30" t="str">
        <x:f>IF(B145&gt;'Pilotage'!$C$6,"",IF('Calculs'!N160&lt;&gt;1,"Positions absentes ou dupliquées",IF(F145&lt;&gt;0,"Écart titres",IF('Calculs'!L160&lt;&gt;"OK",'Calculs'!L160,IF(G145&lt;&gt;"OK",G145,"OK")))))</x:f>
      </x:c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31" t="n">
        <x:f>'Calculs'!B161</x:f>
        <x:v>46297</x:v>
      </x:c>
      <x:c r="C146" s="30" t="str">
        <x:f>'Calculs'!C161</x:f>
        <x:v>FR0000120073</x:v>
      </x:c>
      <x:c r="D146" s="30" t="n">
        <x:f>'Calculs'!E161</x:f>
        <x:v>720</x:v>
      </x:c>
      <x:c r="E146" s="30" t="str">
        <x:f>'Calculs'!J161</x:f>
        <x:v>n.d.</x:v>
      </x:c>
      <x:c r="F146" s="30" t="str">
        <x:f>'Calculs'!K161</x:f>
        <x:v>n.d.</x:v>
      </x:c>
      <x:c r="G146" s="30" t="str">
        <x:f>'Calculs'!M161</x:f>
        <x:v>Clé cours absente/dupliquée</x:v>
      </x:c>
      <x:c r="H146" s="30" t="str">
        <x:f>IF(B146&gt;'Pilotage'!$C$6,"",IF('Calculs'!N161&lt;&gt;1,"Positions absentes ou dupliquées",IF(F146&lt;&gt;0,"Écart titres",IF('Calculs'!L161&lt;&gt;"OK",'Calculs'!L161,IF(G146&lt;&gt;"OK",G146,"OK")))))</x:f>
      </x:c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31" t="n">
        <x:f>'Calculs'!B162</x:f>
        <x:v>46297</x:v>
      </x:c>
      <x:c r="C147" s="30" t="str">
        <x:f>'Calculs'!C162</x:f>
        <x:v>FR0000121972</x:v>
      </x:c>
      <x:c r="D147" s="30" t="n">
        <x:f>'Calculs'!E162</x:f>
        <x:v>425</x:v>
      </x:c>
      <x:c r="E147" s="30" t="str">
        <x:f>'Calculs'!J162</x:f>
        <x:v>n.d.</x:v>
      </x:c>
      <x:c r="F147" s="30" t="str">
        <x:f>'Calculs'!K162</x:f>
        <x:v>n.d.</x:v>
      </x:c>
      <x:c r="G147" s="30" t="str">
        <x:f>'Calculs'!M162</x:f>
        <x:v>Clé cours absente/dupliquée</x:v>
      </x:c>
      <x:c r="H147" s="30" t="str">
        <x:f>IF(B147&gt;'Pilotage'!$C$6,"",IF('Calculs'!N162&lt;&gt;1,"Positions absentes ou dupliquées",IF(F147&lt;&gt;0,"Écart titres",IF('Calculs'!L162&lt;&gt;"OK",'Calculs'!L162,IF(G147&lt;&gt;"OK",G147,"OK")))))</x:f>
      </x:c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31" t="n">
        <x:f>'Calculs'!B163</x:f>
        <x:v>46297</x:v>
      </x:c>
      <x:c r="C148" s="30" t="str">
        <x:f>'Calculs'!C163</x:f>
        <x:v>FR0000120644</x:v>
      </x:c>
      <x:c r="D148" s="30" t="n">
        <x:f>'Calculs'!E163</x:f>
        <x:v>1775</x:v>
      </x:c>
      <x:c r="E148" s="30" t="str">
        <x:f>'Calculs'!J163</x:f>
        <x:v>n.d.</x:v>
      </x:c>
      <x:c r="F148" s="30" t="str">
        <x:f>'Calculs'!K163</x:f>
        <x:v>n.d.</x:v>
      </x:c>
      <x:c r="G148" s="30" t="str">
        <x:f>'Calculs'!M163</x:f>
        <x:v>Clé cours absente/dupliquée</x:v>
      </x:c>
      <x:c r="H148" s="30" t="str">
        <x:f>IF(B148&gt;'Pilotage'!$C$6,"",IF('Calculs'!N163&lt;&gt;1,"Positions absentes ou dupliquées",IF(F148&lt;&gt;0,"Écart titres",IF('Calculs'!L163&lt;&gt;"OK",'Calculs'!L163,IF(G148&lt;&gt;"OK",G148,"OK")))))</x:f>
      </x:c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31" t="n">
        <x:f>'Calculs'!B164</x:f>
        <x:v>46297</x:v>
      </x:c>
      <x:c r="C149" s="30" t="str">
        <x:f>'Calculs'!C164</x:f>
        <x:v>FR0000125486</x:v>
      </x:c>
      <x:c r="D149" s="30" t="n">
        <x:f>'Calculs'!E164</x:f>
        <x:v>930</x:v>
      </x:c>
      <x:c r="E149" s="30" t="str">
        <x:f>'Calculs'!J164</x:f>
        <x:v>n.d.</x:v>
      </x:c>
      <x:c r="F149" s="30" t="str">
        <x:f>'Calculs'!K164</x:f>
        <x:v>n.d.</x:v>
      </x:c>
      <x:c r="G149" s="30" t="str">
        <x:f>'Calculs'!M164</x:f>
        <x:v>Clé cours absente/dupliquée</x:v>
      </x:c>
      <x:c r="H149" s="30" t="str">
        <x:f>IF(B149&gt;'Pilotage'!$C$6,"",IF('Calculs'!N164&lt;&gt;1,"Positions absentes ou dupliquées",IF(F149&lt;&gt;0,"Écart titres",IF('Calculs'!L164&lt;&gt;"OK",'Calculs'!L164,IF(G149&lt;&gt;"OK",G149,"OK")))))</x:f>
      </x:c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31" t="n">
        <x:f>'Calculs'!B165</x:f>
        <x:v>46297</x:v>
      </x:c>
      <x:c r="C150" s="30" t="str">
        <x:f>'Calculs'!C165</x:f>
        <x:v>FR0000120321</x:v>
      </x:c>
      <x:c r="D150" s="30" t="n">
        <x:f>'Calculs'!E165</x:f>
        <x:v>275</x:v>
      </x:c>
      <x:c r="E150" s="30" t="str">
        <x:f>'Calculs'!J165</x:f>
        <x:v>n.d.</x:v>
      </x:c>
      <x:c r="F150" s="30" t="str">
        <x:f>'Calculs'!K165</x:f>
        <x:v>n.d.</x:v>
      </x:c>
      <x:c r="G150" s="30" t="str">
        <x:f>'Calculs'!M165</x:f>
        <x:v>Clé cours absente/dupliquée</x:v>
      </x:c>
      <x:c r="H150" s="30" t="str">
        <x:f>IF(B150&gt;'Pilotage'!$C$6,"",IF('Calculs'!N165&lt;&gt;1,"Positions absentes ou dupliquées",IF(F150&lt;&gt;0,"Écart titres",IF('Calculs'!L165&lt;&gt;"OK",'Calculs'!L165,IF(G150&lt;&gt;"OK",G150,"OK")))))</x:f>
      </x:c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31" t="n">
        <x:f>'Calculs'!B166</x:f>
        <x:v>46300</x:v>
      </x:c>
      <x:c r="C151" s="30" t="str">
        <x:f>'Calculs'!C166</x:f>
        <x:v>FR0000120073</x:v>
      </x:c>
      <x:c r="D151" s="30" t="n">
        <x:f>'Calculs'!E166</x:f>
        <x:v>720</x:v>
      </x:c>
      <x:c r="E151" s="30" t="str">
        <x:f>'Calculs'!J166</x:f>
        <x:v>n.d.</x:v>
      </x:c>
      <x:c r="F151" s="30" t="str">
        <x:f>'Calculs'!K166</x:f>
        <x:v>n.d.</x:v>
      </x:c>
      <x:c r="G151" s="30" t="str">
        <x:f>'Calculs'!M166</x:f>
        <x:v>Clé cours absente/dupliquée</x:v>
      </x:c>
      <x:c r="H151" s="30" t="str">
        <x:f>IF(B151&gt;'Pilotage'!$C$6,"",IF('Calculs'!N166&lt;&gt;1,"Positions absentes ou dupliquées",IF(F151&lt;&gt;0,"Écart titres",IF('Calculs'!L166&lt;&gt;"OK",'Calculs'!L166,IF(G151&lt;&gt;"OK",G151,"OK")))))</x:f>
      </x:c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31" t="n">
        <x:f>'Calculs'!B167</x:f>
        <x:v>46300</x:v>
      </x:c>
      <x:c r="C152" s="30" t="str">
        <x:f>'Calculs'!C167</x:f>
        <x:v>FR0000121972</x:v>
      </x:c>
      <x:c r="D152" s="30" t="n">
        <x:f>'Calculs'!E167</x:f>
        <x:v>425</x:v>
      </x:c>
      <x:c r="E152" s="30" t="str">
        <x:f>'Calculs'!J167</x:f>
        <x:v>n.d.</x:v>
      </x:c>
      <x:c r="F152" s="30" t="str">
        <x:f>'Calculs'!K167</x:f>
        <x:v>n.d.</x:v>
      </x:c>
      <x:c r="G152" s="30" t="str">
        <x:f>'Calculs'!M167</x:f>
        <x:v>Clé cours absente/dupliquée</x:v>
      </x:c>
      <x:c r="H152" s="30" t="str">
        <x:f>IF(B152&gt;'Pilotage'!$C$6,"",IF('Calculs'!N167&lt;&gt;1,"Positions absentes ou dupliquées",IF(F152&lt;&gt;0,"Écart titres",IF('Calculs'!L167&lt;&gt;"OK",'Calculs'!L167,IF(G152&lt;&gt;"OK",G152,"OK")))))</x:f>
      </x:c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31" t="n">
        <x:f>'Calculs'!B168</x:f>
        <x:v>46300</x:v>
      </x:c>
      <x:c r="C153" s="30" t="str">
        <x:f>'Calculs'!C168</x:f>
        <x:v>FR0000120644</x:v>
      </x:c>
      <x:c r="D153" s="30" t="n">
        <x:f>'Calculs'!E168</x:f>
        <x:v>1775</x:v>
      </x:c>
      <x:c r="E153" s="30" t="str">
        <x:f>'Calculs'!J168</x:f>
        <x:v>n.d.</x:v>
      </x:c>
      <x:c r="F153" s="30" t="str">
        <x:f>'Calculs'!K168</x:f>
        <x:v>n.d.</x:v>
      </x:c>
      <x:c r="G153" s="30" t="str">
        <x:f>'Calculs'!M168</x:f>
        <x:v>Clé cours absente/dupliquée</x:v>
      </x:c>
      <x:c r="H153" s="30" t="str">
        <x:f>IF(B153&gt;'Pilotage'!$C$6,"",IF('Calculs'!N168&lt;&gt;1,"Positions absentes ou dupliquées",IF(F153&lt;&gt;0,"Écart titres",IF('Calculs'!L168&lt;&gt;"OK",'Calculs'!L168,IF(G153&lt;&gt;"OK",G153,"OK")))))</x:f>
      </x:c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31" t="n">
        <x:f>'Calculs'!B169</x:f>
        <x:v>46300</x:v>
      </x:c>
      <x:c r="C154" s="30" t="str">
        <x:f>'Calculs'!C169</x:f>
        <x:v>FR0000125486</x:v>
      </x:c>
      <x:c r="D154" s="30" t="n">
        <x:f>'Calculs'!E169</x:f>
        <x:v>930</x:v>
      </x:c>
      <x:c r="E154" s="30" t="str">
        <x:f>'Calculs'!J169</x:f>
        <x:v>n.d.</x:v>
      </x:c>
      <x:c r="F154" s="30" t="str">
        <x:f>'Calculs'!K169</x:f>
        <x:v>n.d.</x:v>
      </x:c>
      <x:c r="G154" s="30" t="str">
        <x:f>'Calculs'!M169</x:f>
        <x:v>Clé cours absente/dupliquée</x:v>
      </x:c>
      <x:c r="H154" s="30" t="str">
        <x:f>IF(B154&gt;'Pilotage'!$C$6,"",IF('Calculs'!N169&lt;&gt;1,"Positions absentes ou dupliquées",IF(F154&lt;&gt;0,"Écart titres",IF('Calculs'!L169&lt;&gt;"OK",'Calculs'!L169,IF(G154&lt;&gt;"OK",G154,"OK")))))</x:f>
      </x:c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31" t="n">
        <x:f>'Calculs'!B170</x:f>
        <x:v>46300</x:v>
      </x:c>
      <x:c r="C155" s="30" t="str">
        <x:f>'Calculs'!C170</x:f>
        <x:v>FR0000120321</x:v>
      </x:c>
      <x:c r="D155" s="30" t="n">
        <x:f>'Calculs'!E170</x:f>
        <x:v>275</x:v>
      </x:c>
      <x:c r="E155" s="30" t="str">
        <x:f>'Calculs'!J170</x:f>
        <x:v>n.d.</x:v>
      </x:c>
      <x:c r="F155" s="30" t="str">
        <x:f>'Calculs'!K170</x:f>
        <x:v>n.d.</x:v>
      </x:c>
      <x:c r="G155" s="30" t="str">
        <x:f>'Calculs'!M170</x:f>
        <x:v>Clé cours absente/dupliquée</x:v>
      </x:c>
      <x:c r="H155" s="30" t="str">
        <x:f>IF(B155&gt;'Pilotage'!$C$6,"",IF('Calculs'!N170&lt;&gt;1,"Positions absentes ou dupliquées",IF(F155&lt;&gt;0,"Écart titres",IF('Calculs'!L170&lt;&gt;"OK",'Calculs'!L170,IF(G155&lt;&gt;"OK",G155,"OK")))))</x:f>
      </x:c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31" t="n">
        <x:f>'Calculs'!B171</x:f>
        <x:v>46301</x:v>
      </x:c>
      <x:c r="C156" s="30" t="str">
        <x:f>'Calculs'!C171</x:f>
        <x:v>FR0000120073</x:v>
      </x:c>
      <x:c r="D156" s="30" t="n">
        <x:f>'Calculs'!E171</x:f>
        <x:v>720</x:v>
      </x:c>
      <x:c r="E156" s="30" t="str">
        <x:f>'Calculs'!J171</x:f>
        <x:v>n.d.</x:v>
      </x:c>
      <x:c r="F156" s="30" t="str">
        <x:f>'Calculs'!K171</x:f>
        <x:v>n.d.</x:v>
      </x:c>
      <x:c r="G156" s="30" t="str">
        <x:f>'Calculs'!M171</x:f>
        <x:v>Clé cours absente/dupliquée</x:v>
      </x:c>
      <x:c r="H156" s="30" t="str">
        <x:f>IF(B156&gt;'Pilotage'!$C$6,"",IF('Calculs'!N171&lt;&gt;1,"Positions absentes ou dupliquées",IF(F156&lt;&gt;0,"Écart titres",IF('Calculs'!L171&lt;&gt;"OK",'Calculs'!L171,IF(G156&lt;&gt;"OK",G156,"OK")))))</x:f>
      </x:c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31" t="n">
        <x:f>'Calculs'!B172</x:f>
        <x:v>46301</x:v>
      </x:c>
      <x:c r="C157" s="30" t="str">
        <x:f>'Calculs'!C172</x:f>
        <x:v>FR0000121972</x:v>
      </x:c>
      <x:c r="D157" s="30" t="n">
        <x:f>'Calculs'!E172</x:f>
        <x:v>425</x:v>
      </x:c>
      <x:c r="E157" s="30" t="str">
        <x:f>'Calculs'!J172</x:f>
        <x:v>n.d.</x:v>
      </x:c>
      <x:c r="F157" s="30" t="str">
        <x:f>'Calculs'!K172</x:f>
        <x:v>n.d.</x:v>
      </x:c>
      <x:c r="G157" s="30" t="str">
        <x:f>'Calculs'!M172</x:f>
        <x:v>Clé cours absente/dupliquée</x:v>
      </x:c>
      <x:c r="H157" s="30" t="str">
        <x:f>IF(B157&gt;'Pilotage'!$C$6,"",IF('Calculs'!N172&lt;&gt;1,"Positions absentes ou dupliquées",IF(F157&lt;&gt;0,"Écart titres",IF('Calculs'!L172&lt;&gt;"OK",'Calculs'!L172,IF(G157&lt;&gt;"OK",G157,"OK")))))</x:f>
      </x:c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31" t="n">
        <x:f>'Calculs'!B173</x:f>
        <x:v>46301</x:v>
      </x:c>
      <x:c r="C158" s="30" t="str">
        <x:f>'Calculs'!C173</x:f>
        <x:v>FR0000120644</x:v>
      </x:c>
      <x:c r="D158" s="30" t="n">
        <x:f>'Calculs'!E173</x:f>
        <x:v>1775</x:v>
      </x:c>
      <x:c r="E158" s="30" t="str">
        <x:f>'Calculs'!J173</x:f>
        <x:v>n.d.</x:v>
      </x:c>
      <x:c r="F158" s="30" t="str">
        <x:f>'Calculs'!K173</x:f>
        <x:v>n.d.</x:v>
      </x:c>
      <x:c r="G158" s="30" t="str">
        <x:f>'Calculs'!M173</x:f>
        <x:v>Clé cours absente/dupliquée</x:v>
      </x:c>
      <x:c r="H158" s="30" t="str">
        <x:f>IF(B158&gt;'Pilotage'!$C$6,"",IF('Calculs'!N173&lt;&gt;1,"Positions absentes ou dupliquées",IF(F158&lt;&gt;0,"Écart titres",IF('Calculs'!L173&lt;&gt;"OK",'Calculs'!L173,IF(G158&lt;&gt;"OK",G158,"OK")))))</x:f>
      </x:c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31" t="n">
        <x:f>'Calculs'!B174</x:f>
        <x:v>46301</x:v>
      </x:c>
      <x:c r="C159" s="30" t="str">
        <x:f>'Calculs'!C174</x:f>
        <x:v>FR0000125486</x:v>
      </x:c>
      <x:c r="D159" s="30" t="n">
        <x:f>'Calculs'!E174</x:f>
        <x:v>930</x:v>
      </x:c>
      <x:c r="E159" s="30" t="str">
        <x:f>'Calculs'!J174</x:f>
        <x:v>n.d.</x:v>
      </x:c>
      <x:c r="F159" s="30" t="str">
        <x:f>'Calculs'!K174</x:f>
        <x:v>n.d.</x:v>
      </x:c>
      <x:c r="G159" s="30" t="str">
        <x:f>'Calculs'!M174</x:f>
        <x:v>Clé cours absente/dupliquée</x:v>
      </x:c>
      <x:c r="H159" s="30" t="str">
        <x:f>IF(B159&gt;'Pilotage'!$C$6,"",IF('Calculs'!N174&lt;&gt;1,"Positions absentes ou dupliquées",IF(F159&lt;&gt;0,"Écart titres",IF('Calculs'!L174&lt;&gt;"OK",'Calculs'!L174,IF(G159&lt;&gt;"OK",G159,"OK")))))</x:f>
      </x:c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31" t="n">
        <x:f>'Calculs'!B175</x:f>
        <x:v>46301</x:v>
      </x:c>
      <x:c r="C160" s="30" t="str">
        <x:f>'Calculs'!C175</x:f>
        <x:v>FR0000120321</x:v>
      </x:c>
      <x:c r="D160" s="30" t="n">
        <x:f>'Calculs'!E175</x:f>
        <x:v>275</x:v>
      </x:c>
      <x:c r="E160" s="30" t="str">
        <x:f>'Calculs'!J175</x:f>
        <x:v>n.d.</x:v>
      </x:c>
      <x:c r="F160" s="30" t="str">
        <x:f>'Calculs'!K175</x:f>
        <x:v>n.d.</x:v>
      </x:c>
      <x:c r="G160" s="30" t="str">
        <x:f>'Calculs'!M175</x:f>
        <x:v>Clé cours absente/dupliquée</x:v>
      </x:c>
      <x:c r="H160" s="30" t="str">
        <x:f>IF(B160&gt;'Pilotage'!$C$6,"",IF('Calculs'!N175&lt;&gt;1,"Positions absentes ou dupliquées",IF(F160&lt;&gt;0,"Écart titres",IF('Calculs'!L175&lt;&gt;"OK",'Calculs'!L175,IF(G160&lt;&gt;"OK",G160,"OK")))))</x:f>
      </x:c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31" t="n">
        <x:f>'Calculs'!B176</x:f>
        <x:v>46302</x:v>
      </x:c>
      <x:c r="C161" s="30" t="str">
        <x:f>'Calculs'!C176</x:f>
        <x:v>FR0000120073</x:v>
      </x:c>
      <x:c r="D161" s="30" t="n">
        <x:f>'Calculs'!E176</x:f>
        <x:v>720</x:v>
      </x:c>
      <x:c r="E161" s="30" t="str">
        <x:f>'Calculs'!J176</x:f>
        <x:v>n.d.</x:v>
      </x:c>
      <x:c r="F161" s="30" t="str">
        <x:f>'Calculs'!K176</x:f>
        <x:v>n.d.</x:v>
      </x:c>
      <x:c r="G161" s="30" t="str">
        <x:f>'Calculs'!M176</x:f>
        <x:v>Clé cours absente/dupliquée</x:v>
      </x:c>
      <x:c r="H161" s="30" t="str">
        <x:f>IF(B161&gt;'Pilotage'!$C$6,"",IF('Calculs'!N176&lt;&gt;1,"Positions absentes ou dupliquées",IF(F161&lt;&gt;0,"Écart titres",IF('Calculs'!L176&lt;&gt;"OK",'Calculs'!L176,IF(G161&lt;&gt;"OK",G161,"OK")))))</x:f>
      </x:c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31" t="n">
        <x:f>'Calculs'!B177</x:f>
        <x:v>46302</x:v>
      </x:c>
      <x:c r="C162" s="30" t="str">
        <x:f>'Calculs'!C177</x:f>
        <x:v>FR0000121972</x:v>
      </x:c>
      <x:c r="D162" s="30" t="n">
        <x:f>'Calculs'!E177</x:f>
        <x:v>425</x:v>
      </x:c>
      <x:c r="E162" s="30" t="str">
        <x:f>'Calculs'!J177</x:f>
        <x:v>n.d.</x:v>
      </x:c>
      <x:c r="F162" s="30" t="str">
        <x:f>'Calculs'!K177</x:f>
        <x:v>n.d.</x:v>
      </x:c>
      <x:c r="G162" s="30" t="str">
        <x:f>'Calculs'!M177</x:f>
        <x:v>Clé cours absente/dupliquée</x:v>
      </x:c>
      <x:c r="H162" s="30" t="str">
        <x:f>IF(B162&gt;'Pilotage'!$C$6,"",IF('Calculs'!N177&lt;&gt;1,"Positions absentes ou dupliquées",IF(F162&lt;&gt;0,"Écart titres",IF('Calculs'!L177&lt;&gt;"OK",'Calculs'!L177,IF(G162&lt;&gt;"OK",G162,"OK")))))</x:f>
      </x:c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31" t="n">
        <x:f>'Calculs'!B178</x:f>
        <x:v>46302</x:v>
      </x:c>
      <x:c r="C163" s="30" t="str">
        <x:f>'Calculs'!C178</x:f>
        <x:v>FR0000120644</x:v>
      </x:c>
      <x:c r="D163" s="30" t="n">
        <x:f>'Calculs'!E178</x:f>
        <x:v>1775</x:v>
      </x:c>
      <x:c r="E163" s="30" t="str">
        <x:f>'Calculs'!J178</x:f>
        <x:v>n.d.</x:v>
      </x:c>
      <x:c r="F163" s="30" t="str">
        <x:f>'Calculs'!K178</x:f>
        <x:v>n.d.</x:v>
      </x:c>
      <x:c r="G163" s="30" t="str">
        <x:f>'Calculs'!M178</x:f>
        <x:v>Clé cours absente/dupliquée</x:v>
      </x:c>
      <x:c r="H163" s="30" t="str">
        <x:f>IF(B163&gt;'Pilotage'!$C$6,"",IF('Calculs'!N178&lt;&gt;1,"Positions absentes ou dupliquées",IF(F163&lt;&gt;0,"Écart titres",IF('Calculs'!L178&lt;&gt;"OK",'Calculs'!L178,IF(G163&lt;&gt;"OK",G163,"OK")))))</x:f>
      </x:c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31" t="n">
        <x:f>'Calculs'!B179</x:f>
        <x:v>46302</x:v>
      </x:c>
      <x:c r="C164" s="30" t="str">
        <x:f>'Calculs'!C179</x:f>
        <x:v>FR0000125486</x:v>
      </x:c>
      <x:c r="D164" s="30" t="n">
        <x:f>'Calculs'!E179</x:f>
        <x:v>930</x:v>
      </x:c>
      <x:c r="E164" s="30" t="str">
        <x:f>'Calculs'!J179</x:f>
        <x:v>n.d.</x:v>
      </x:c>
      <x:c r="F164" s="30" t="str">
        <x:f>'Calculs'!K179</x:f>
        <x:v>n.d.</x:v>
      </x:c>
      <x:c r="G164" s="30" t="str">
        <x:f>'Calculs'!M179</x:f>
        <x:v>Clé cours absente/dupliquée</x:v>
      </x:c>
      <x:c r="H164" s="30" t="str">
        <x:f>IF(B164&gt;'Pilotage'!$C$6,"",IF('Calculs'!N179&lt;&gt;1,"Positions absentes ou dupliquées",IF(F164&lt;&gt;0,"Écart titres",IF('Calculs'!L179&lt;&gt;"OK",'Calculs'!L179,IF(G164&lt;&gt;"OK",G164,"OK")))))</x:f>
      </x:c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31" t="n">
        <x:f>'Calculs'!B180</x:f>
        <x:v>46302</x:v>
      </x:c>
      <x:c r="C165" s="30" t="str">
        <x:f>'Calculs'!C180</x:f>
        <x:v>FR0000120321</x:v>
      </x:c>
      <x:c r="D165" s="30" t="n">
        <x:f>'Calculs'!E180</x:f>
        <x:v>275</x:v>
      </x:c>
      <x:c r="E165" s="30" t="str">
        <x:f>'Calculs'!J180</x:f>
        <x:v>n.d.</x:v>
      </x:c>
      <x:c r="F165" s="30" t="str">
        <x:f>'Calculs'!K180</x:f>
        <x:v>n.d.</x:v>
      </x:c>
      <x:c r="G165" s="30" t="str">
        <x:f>'Calculs'!M180</x:f>
        <x:v>Clé cours absente/dupliquée</x:v>
      </x:c>
      <x:c r="H165" s="30" t="str">
        <x:f>IF(B165&gt;'Pilotage'!$C$6,"",IF('Calculs'!N180&lt;&gt;1,"Positions absentes ou dupliquées",IF(F165&lt;&gt;0,"Écart titres",IF('Calculs'!L180&lt;&gt;"OK",'Calculs'!L180,IF(G165&lt;&gt;"OK",G165,"OK")))))</x:f>
      </x:c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31" t="n">
        <x:f>'Calculs'!B181</x:f>
        <x:v>46303</x:v>
      </x:c>
      <x:c r="C166" s="30" t="str">
        <x:f>'Calculs'!C181</x:f>
        <x:v>FR0000120073</x:v>
      </x:c>
      <x:c r="D166" s="30" t="n">
        <x:f>'Calculs'!E181</x:f>
        <x:v>720</x:v>
      </x:c>
      <x:c r="E166" s="30" t="str">
        <x:f>'Calculs'!J181</x:f>
        <x:v>n.d.</x:v>
      </x:c>
      <x:c r="F166" s="30" t="str">
        <x:f>'Calculs'!K181</x:f>
        <x:v>n.d.</x:v>
      </x:c>
      <x:c r="G166" s="30" t="str">
        <x:f>'Calculs'!M181</x:f>
        <x:v>Clé cours absente/dupliquée</x:v>
      </x:c>
      <x:c r="H166" s="30" t="str">
        <x:f>IF(B166&gt;'Pilotage'!$C$6,"",IF('Calculs'!N181&lt;&gt;1,"Positions absentes ou dupliquées",IF(F166&lt;&gt;0,"Écart titres",IF('Calculs'!L181&lt;&gt;"OK",'Calculs'!L181,IF(G166&lt;&gt;"OK",G166,"OK")))))</x:f>
      </x:c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31" t="n">
        <x:f>'Calculs'!B182</x:f>
        <x:v>46303</x:v>
      </x:c>
      <x:c r="C167" s="30" t="str">
        <x:f>'Calculs'!C182</x:f>
        <x:v>FR0000121972</x:v>
      </x:c>
      <x:c r="D167" s="30" t="n">
        <x:f>'Calculs'!E182</x:f>
        <x:v>425</x:v>
      </x:c>
      <x:c r="E167" s="30" t="str">
        <x:f>'Calculs'!J182</x:f>
        <x:v>n.d.</x:v>
      </x:c>
      <x:c r="F167" s="30" t="str">
        <x:f>'Calculs'!K182</x:f>
        <x:v>n.d.</x:v>
      </x:c>
      <x:c r="G167" s="30" t="str">
        <x:f>'Calculs'!M182</x:f>
        <x:v>Clé cours absente/dupliquée</x:v>
      </x:c>
      <x:c r="H167" s="30" t="str">
        <x:f>IF(B167&gt;'Pilotage'!$C$6,"",IF('Calculs'!N182&lt;&gt;1,"Positions absentes ou dupliquées",IF(F167&lt;&gt;0,"Écart titres",IF('Calculs'!L182&lt;&gt;"OK",'Calculs'!L182,IF(G167&lt;&gt;"OK",G167,"OK")))))</x:f>
      </x:c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31" t="n">
        <x:f>'Calculs'!B183</x:f>
        <x:v>46303</x:v>
      </x:c>
      <x:c r="C168" s="30" t="str">
        <x:f>'Calculs'!C183</x:f>
        <x:v>FR0000120644</x:v>
      </x:c>
      <x:c r="D168" s="30" t="n">
        <x:f>'Calculs'!E183</x:f>
        <x:v>1775</x:v>
      </x:c>
      <x:c r="E168" s="30" t="str">
        <x:f>'Calculs'!J183</x:f>
        <x:v>n.d.</x:v>
      </x:c>
      <x:c r="F168" s="30" t="str">
        <x:f>'Calculs'!K183</x:f>
        <x:v>n.d.</x:v>
      </x:c>
      <x:c r="G168" s="30" t="str">
        <x:f>'Calculs'!M183</x:f>
        <x:v>Clé cours absente/dupliquée</x:v>
      </x:c>
      <x:c r="H168" s="30" t="str">
        <x:f>IF(B168&gt;'Pilotage'!$C$6,"",IF('Calculs'!N183&lt;&gt;1,"Positions absentes ou dupliquées",IF(F168&lt;&gt;0,"Écart titres",IF('Calculs'!L183&lt;&gt;"OK",'Calculs'!L183,IF(G168&lt;&gt;"OK",G168,"OK")))))</x:f>
      </x:c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31" t="n">
        <x:f>'Calculs'!B184</x:f>
        <x:v>46303</x:v>
      </x:c>
      <x:c r="C169" s="30" t="str">
        <x:f>'Calculs'!C184</x:f>
        <x:v>FR0000125486</x:v>
      </x:c>
      <x:c r="D169" s="30" t="n">
        <x:f>'Calculs'!E184</x:f>
        <x:v>930</x:v>
      </x:c>
      <x:c r="E169" s="30" t="str">
        <x:f>'Calculs'!J184</x:f>
        <x:v>n.d.</x:v>
      </x:c>
      <x:c r="F169" s="30" t="str">
        <x:f>'Calculs'!K184</x:f>
        <x:v>n.d.</x:v>
      </x:c>
      <x:c r="G169" s="30" t="str">
        <x:f>'Calculs'!M184</x:f>
        <x:v>Clé cours absente/dupliquée</x:v>
      </x:c>
      <x:c r="H169" s="30" t="str">
        <x:f>IF(B169&gt;'Pilotage'!$C$6,"",IF('Calculs'!N184&lt;&gt;1,"Positions absentes ou dupliquées",IF(F169&lt;&gt;0,"Écart titres",IF('Calculs'!L184&lt;&gt;"OK",'Calculs'!L184,IF(G169&lt;&gt;"OK",G169,"OK")))))</x:f>
      </x:c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31" t="n">
        <x:f>'Calculs'!B185</x:f>
        <x:v>46303</x:v>
      </x:c>
      <x:c r="C170" s="30" t="str">
        <x:f>'Calculs'!C185</x:f>
        <x:v>FR0000120321</x:v>
      </x:c>
      <x:c r="D170" s="30" t="n">
        <x:f>'Calculs'!E185</x:f>
        <x:v>275</x:v>
      </x:c>
      <x:c r="E170" s="30" t="str">
        <x:f>'Calculs'!J185</x:f>
        <x:v>n.d.</x:v>
      </x:c>
      <x:c r="F170" s="30" t="str">
        <x:f>'Calculs'!K185</x:f>
        <x:v>n.d.</x:v>
      </x:c>
      <x:c r="G170" s="30" t="str">
        <x:f>'Calculs'!M185</x:f>
        <x:v>Clé cours absente/dupliquée</x:v>
      </x:c>
      <x:c r="H170" s="30" t="str">
        <x:f>IF(B170&gt;'Pilotage'!$C$6,"",IF('Calculs'!N185&lt;&gt;1,"Positions absentes ou dupliquées",IF(F170&lt;&gt;0,"Écart titres",IF('Calculs'!L185&lt;&gt;"OK",'Calculs'!L185,IF(G170&lt;&gt;"OK",G170,"OK")))))</x:f>
      </x:c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31" t="n">
        <x:f>'Calculs'!B186</x:f>
        <x:v>46304</x:v>
      </x:c>
      <x:c r="C171" s="30" t="str">
        <x:f>'Calculs'!C186</x:f>
        <x:v>FR0000120073</x:v>
      </x:c>
      <x:c r="D171" s="30" t="n">
        <x:f>'Calculs'!E186</x:f>
        <x:v>720</x:v>
      </x:c>
      <x:c r="E171" s="30" t="str">
        <x:f>'Calculs'!J186</x:f>
        <x:v>n.d.</x:v>
      </x:c>
      <x:c r="F171" s="30" t="str">
        <x:f>'Calculs'!K186</x:f>
        <x:v>n.d.</x:v>
      </x:c>
      <x:c r="G171" s="30" t="str">
        <x:f>'Calculs'!M186</x:f>
        <x:v>Clé cours absente/dupliquée</x:v>
      </x:c>
      <x:c r="H171" s="30" t="str">
        <x:f>IF(B171&gt;'Pilotage'!$C$6,"",IF('Calculs'!N186&lt;&gt;1,"Positions absentes ou dupliquées",IF(F171&lt;&gt;0,"Écart titres",IF('Calculs'!L186&lt;&gt;"OK",'Calculs'!L186,IF(G171&lt;&gt;"OK",G171,"OK")))))</x:f>
      </x:c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31" t="n">
        <x:f>'Calculs'!B187</x:f>
        <x:v>46304</x:v>
      </x:c>
      <x:c r="C172" s="30" t="str">
        <x:f>'Calculs'!C187</x:f>
        <x:v>FR0000121972</x:v>
      </x:c>
      <x:c r="D172" s="30" t="n">
        <x:f>'Calculs'!E187</x:f>
        <x:v>425</x:v>
      </x:c>
      <x:c r="E172" s="30" t="str">
        <x:f>'Calculs'!J187</x:f>
        <x:v>n.d.</x:v>
      </x:c>
      <x:c r="F172" s="30" t="str">
        <x:f>'Calculs'!K187</x:f>
        <x:v>n.d.</x:v>
      </x:c>
      <x:c r="G172" s="30" t="str">
        <x:f>'Calculs'!M187</x:f>
        <x:v>Clé cours absente/dupliquée</x:v>
      </x:c>
      <x:c r="H172" s="30" t="str">
        <x:f>IF(B172&gt;'Pilotage'!$C$6,"",IF('Calculs'!N187&lt;&gt;1,"Positions absentes ou dupliquées",IF(F172&lt;&gt;0,"Écart titres",IF('Calculs'!L187&lt;&gt;"OK",'Calculs'!L187,IF(G172&lt;&gt;"OK",G172,"OK")))))</x:f>
      </x:c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31" t="n">
        <x:f>'Calculs'!B188</x:f>
        <x:v>46304</x:v>
      </x:c>
      <x:c r="C173" s="30" t="str">
        <x:f>'Calculs'!C188</x:f>
        <x:v>FR0000120644</x:v>
      </x:c>
      <x:c r="D173" s="30" t="n">
        <x:f>'Calculs'!E188</x:f>
        <x:v>1775</x:v>
      </x:c>
      <x:c r="E173" s="30" t="str">
        <x:f>'Calculs'!J188</x:f>
        <x:v>n.d.</x:v>
      </x:c>
      <x:c r="F173" s="30" t="str">
        <x:f>'Calculs'!K188</x:f>
        <x:v>n.d.</x:v>
      </x:c>
      <x:c r="G173" s="30" t="str">
        <x:f>'Calculs'!M188</x:f>
        <x:v>Clé cours absente/dupliquée</x:v>
      </x:c>
      <x:c r="H173" s="30" t="str">
        <x:f>IF(B173&gt;'Pilotage'!$C$6,"",IF('Calculs'!N188&lt;&gt;1,"Positions absentes ou dupliquées",IF(F173&lt;&gt;0,"Écart titres",IF('Calculs'!L188&lt;&gt;"OK",'Calculs'!L188,IF(G173&lt;&gt;"OK",G173,"OK")))))</x:f>
      </x:c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31" t="n">
        <x:f>'Calculs'!B189</x:f>
        <x:v>46304</x:v>
      </x:c>
      <x:c r="C174" s="30" t="str">
        <x:f>'Calculs'!C189</x:f>
        <x:v>FR0000125486</x:v>
      </x:c>
      <x:c r="D174" s="30" t="n">
        <x:f>'Calculs'!E189</x:f>
        <x:v>930</x:v>
      </x:c>
      <x:c r="E174" s="30" t="str">
        <x:f>'Calculs'!J189</x:f>
        <x:v>n.d.</x:v>
      </x:c>
      <x:c r="F174" s="30" t="str">
        <x:f>'Calculs'!K189</x:f>
        <x:v>n.d.</x:v>
      </x:c>
      <x:c r="G174" s="30" t="str">
        <x:f>'Calculs'!M189</x:f>
        <x:v>Clé cours absente/dupliquée</x:v>
      </x:c>
      <x:c r="H174" s="30" t="str">
        <x:f>IF(B174&gt;'Pilotage'!$C$6,"",IF('Calculs'!N189&lt;&gt;1,"Positions absentes ou dupliquées",IF(F174&lt;&gt;0,"Écart titres",IF('Calculs'!L189&lt;&gt;"OK",'Calculs'!L189,IF(G174&lt;&gt;"OK",G174,"OK")))))</x:f>
      </x:c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31" t="n">
        <x:f>'Calculs'!B190</x:f>
        <x:v>46304</x:v>
      </x:c>
      <x:c r="C175" s="30" t="str">
        <x:f>'Calculs'!C190</x:f>
        <x:v>FR0000120321</x:v>
      </x:c>
      <x:c r="D175" s="30" t="n">
        <x:f>'Calculs'!E190</x:f>
        <x:v>275</x:v>
      </x:c>
      <x:c r="E175" s="30" t="str">
        <x:f>'Calculs'!J190</x:f>
        <x:v>n.d.</x:v>
      </x:c>
      <x:c r="F175" s="30" t="str">
        <x:f>'Calculs'!K190</x:f>
        <x:v>n.d.</x:v>
      </x:c>
      <x:c r="G175" s="30" t="str">
        <x:f>'Calculs'!M190</x:f>
        <x:v>Clé cours absente/dupliquée</x:v>
      </x:c>
      <x:c r="H175" s="30" t="str">
        <x:f>IF(B175&gt;'Pilotage'!$C$6,"",IF('Calculs'!N190&lt;&gt;1,"Positions absentes ou dupliquées",IF(F175&lt;&gt;0,"Écart titres",IF('Calculs'!L190&lt;&gt;"OK",'Calculs'!L190,IF(G175&lt;&gt;"OK",G175,"OK")))))</x:f>
      </x:c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34" customHeight="1">
      <x:c r="A185" s="2"/>
      <x:c r="B185" s="8" t="str">
        <x:v>Date</x:v>
      </x:c>
      <x:c r="C185" s="8" t="str">
        <x:v>Espèces internes EUR</x:v>
      </x:c>
      <x:c r="D185" s="8" t="str">
        <x:v>Espèces dépositaire EUR</x:v>
      </x:c>
      <x:c r="E185" s="8" t="str">
        <x:v>Écart espèces EUR</x:v>
      </x:c>
      <x:c r="F185" s="8" t="str">
        <x:v>Actif net interne EUR</x:v>
      </x:c>
      <x:c r="G185" s="8" t="str">
        <x:v>Actif net référence EUR</x:v>
      </x:c>
      <x:c r="H185" s="8" t="str">
        <x:v>Écart actif net EUR</x:v>
      </x:c>
      <x:c r="I185" s="8" t="str">
        <x:v>Contrôle</x:v>
      </x:c>
      <x:c r="J185" s="30"/>
      <x:c r="K185" s="30"/>
      <x:c r="L185" s="30"/>
      <x:c r="M185" s="30"/>
      <x:c r="N185" s="30"/>
      <x:c r="O185" s="30"/>
      <x:c r="P185" s="30"/>
      <x:c r="Q185" s="30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31" t="n">
        <x:f>'Calculs'!B201</x:f>
        <x:v>46279</x:v>
      </x:c>
      <x:c r="C186" s="32" t="n">
        <x:f>'Calculs'!D201</x:f>
        <x:v>1000000</x:v>
      </x:c>
      <x:c r="D186" s="32" t="n">
        <x:f>IF('Calculs'!M201=1,SUMIFS('Dépositaire'!$U$7:$U$26,'Dépositaire'!$T$7:$T$26,B186),"n.d.")</x:f>
        <x:v>1000000</x:v>
      </x:c>
      <x:c r="E186" s="32" t="n">
        <x:f>IF(ISNUMBER(D186),ROUND(C186-D186,2),"n.d.")</x:f>
        <x:v>0</x:v>
      </x:c>
      <x:c r="F186" s="32" t="n">
        <x:f>'Calculs'!H201</x:f>
        <x:v>999916</x:v>
      </x:c>
      <x:c r="G186" s="32" t="n">
        <x:f>'Calculs'!K201</x:f>
        <x:v>999916</x:v>
      </x:c>
      <x:c r="H186" s="32" t="n">
        <x:f>'Calculs'!L201</x:f>
        <x:v>0</x:v>
      </x:c>
      <x:c r="I186" s="30" t="str">
        <x:f>IF(B186&gt;'Pilotage'!$C$6,"",IF(OR(NOT(ISNUMBER(E186)),NOT(ISNUMBER(H186))),"Données incomplètes",IF(OR(ABS(E186)&gt;'Pilotage'!$C$11,ABS(H186)&gt;'Pilotage'!$C$11),"Écart monétaire","OK")))</x:f>
        <x:v>OK</x:v>
      </x:c>
      <x:c r="J186" s="30"/>
      <x:c r="K186" s="30"/>
      <x:c r="L186" s="30"/>
      <x:c r="M186" s="30"/>
      <x:c r="N186" s="30"/>
      <x:c r="O186" s="30"/>
      <x:c r="P186" s="30"/>
      <x:c r="Q186" s="30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31" t="n">
        <x:f>'Calculs'!B202</x:f>
        <x:v>46280</x:v>
      </x:c>
      <x:c r="C187" s="32" t="n">
        <x:f>'Calculs'!D202</x:f>
        <x:v>1000000</x:v>
      </x:c>
      <x:c r="D187" s="32" t="n">
        <x:f>IF('Calculs'!M202=1,SUMIFS('Dépositaire'!$U$7:$U$26,'Dépositaire'!$T$7:$T$26,B187),"n.d.")</x:f>
        <x:v>1000000</x:v>
      </x:c>
      <x:c r="E187" s="32" t="n">
        <x:f>IF(ISNUMBER(D187),ROUND(C187-D187,2),"n.d.")</x:f>
        <x:v>0</x:v>
      </x:c>
      <x:c r="F187" s="32" t="n">
        <x:f>'Calculs'!H202</x:f>
        <x:v>1000921.5</x:v>
      </x:c>
      <x:c r="G187" s="32" t="n">
        <x:f>'Calculs'!K202</x:f>
        <x:v>1000921.5</x:v>
      </x:c>
      <x:c r="H187" s="32" t="n">
        <x:f>'Calculs'!L202</x:f>
        <x:v>0</x:v>
      </x:c>
      <x:c r="I187" s="30" t="str">
        <x:f>IF(B187&gt;'Pilotage'!$C$6,"",IF(OR(NOT(ISNUMBER(E187)),NOT(ISNUMBER(H187))),"Données incomplètes",IF(OR(ABS(E187)&gt;'Pilotage'!$C$11,ABS(H187)&gt;'Pilotage'!$C$11),"Écart monétaire","OK")))</x:f>
        <x:v>OK</x:v>
      </x:c>
      <x:c r="J187" s="30"/>
      <x:c r="K187" s="30"/>
      <x:c r="L187" s="30"/>
      <x:c r="M187" s="30"/>
      <x:c r="N187" s="30"/>
      <x:c r="O187" s="30"/>
      <x:c r="P187" s="30"/>
      <x:c r="Q187" s="30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31" t="n">
        <x:f>'Calculs'!B203</x:f>
        <x:v>46281</x:v>
      </x:c>
      <x:c r="C188" s="32" t="n">
        <x:f>'Calculs'!D203</x:f>
        <x:v>509473.5</x:v>
      </x:c>
      <x:c r="D188" s="32" t="n">
        <x:f>IF('Calculs'!M203=1,SUMIFS('Dépositaire'!$U$7:$U$26,'Dépositaire'!$T$7:$T$26,B188),"n.d.")</x:f>
        <x:v>509473.5</x:v>
      </x:c>
      <x:c r="E188" s="32" t="n">
        <x:f>IF(ISNUMBER(D188),ROUND(C188-D188,2),"n.d.")</x:f>
        <x:v>0</x:v>
      </x:c>
      <x:c r="F188" s="32" t="n">
        <x:f>'Calculs'!H203</x:f>
        <x:v>1000894.5</x:v>
      </x:c>
      <x:c r="G188" s="32" t="n">
        <x:f>'Calculs'!K203</x:f>
        <x:v>1000894.5</x:v>
      </x:c>
      <x:c r="H188" s="32" t="n">
        <x:f>'Calculs'!L203</x:f>
        <x:v>0</x:v>
      </x:c>
      <x:c r="I188" s="30" t="str">
        <x:f>IF(B188&gt;'Pilotage'!$C$6,"",IF(OR(NOT(ISNUMBER(E188)),NOT(ISNUMBER(H188))),"Données incomplètes",IF(OR(ABS(E188)&gt;'Pilotage'!$C$11,ABS(H188)&gt;'Pilotage'!$C$11),"Écart monétaire","OK")))</x:f>
        <x:v>OK</x:v>
      </x:c>
      <x:c r="J188" s="30"/>
      <x:c r="K188" s="30"/>
      <x:c r="L188" s="30"/>
      <x:c r="M188" s="30"/>
      <x:c r="N188" s="30"/>
      <x:c r="O188" s="30"/>
      <x:c r="P188" s="30"/>
      <x:c r="Q188" s="30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31" t="n">
        <x:f>'Calculs'!B204</x:f>
        <x:v>46282</x:v>
      </x:c>
      <x:c r="C189" s="32" t="n">
        <x:f>'Calculs'!D204</x:f>
        <x:v>485814.5</x:v>
      </x:c>
      <x:c r="D189" s="32" t="n">
        <x:f>IF('Calculs'!M204=1,SUMIFS('Dépositaire'!$U$7:$U$26,'Dépositaire'!$T$7:$T$26,B189),"n.d.")</x:f>
        <x:v>485814.5</x:v>
      </x:c>
      <x:c r="E189" s="32" t="n">
        <x:f>IF(ISNUMBER(D189),ROUND(C189-D189,2),"n.d.")</x:f>
        <x:v>0</x:v>
      </x:c>
      <x:c r="F189" s="32" t="n">
        <x:f>'Calculs'!H204</x:f>
        <x:v>1000815.9</x:v>
      </x:c>
      <x:c r="G189" s="32" t="n">
        <x:f>'Calculs'!K204</x:f>
        <x:v>1000815.9</x:v>
      </x:c>
      <x:c r="H189" s="32" t="n">
        <x:f>'Calculs'!L204</x:f>
        <x:v>0</x:v>
      </x:c>
      <x:c r="I189" s="30" t="str">
        <x:f>IF(B189&gt;'Pilotage'!$C$6,"",IF(OR(NOT(ISNUMBER(E189)),NOT(ISNUMBER(H189))),"Données incomplètes",IF(OR(ABS(E189)&gt;'Pilotage'!$C$11,ABS(H189)&gt;'Pilotage'!$C$11),"Écart monétaire","OK")))</x:f>
        <x:v>OK</x:v>
      </x:c>
      <x:c r="J189" s="30"/>
      <x:c r="K189" s="30"/>
      <x:c r="L189" s="30"/>
      <x:c r="M189" s="30"/>
      <x:c r="N189" s="30"/>
      <x:c r="O189" s="30"/>
      <x:c r="P189" s="30"/>
      <x:c r="Q189" s="30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31" t="n">
        <x:f>'Calculs'!B205</x:f>
        <x:v>46283</x:v>
      </x:c>
      <x:c r="C190" s="32" t="n">
        <x:f>'Calculs'!D205</x:f>
        <x:v>484687.5</x:v>
      </x:c>
      <x:c r="D190" s="32" t="n">
        <x:f>IF('Calculs'!M205=1,SUMIFS('Dépositaire'!$U$7:$U$26,'Dépositaire'!$T$7:$T$26,B190),"n.d.")</x:f>
        <x:v>484687.5</x:v>
      </x:c>
      <x:c r="E190" s="32" t="n">
        <x:f>IF(ISNUMBER(D190),ROUND(C190-D190,2),"n.d.")</x:f>
        <x:v>0</x:v>
      </x:c>
      <x:c r="F190" s="32" t="n">
        <x:f>'Calculs'!H205</x:f>
        <x:v>1001871.9</x:v>
      </x:c>
      <x:c r="G190" s="32" t="n">
        <x:f>'Calculs'!K205</x:f>
        <x:v>1001871.9</x:v>
      </x:c>
      <x:c r="H190" s="32" t="n">
        <x:f>'Calculs'!L205</x:f>
        <x:v>0</x:v>
      </x:c>
      <x:c r="I190" s="30" t="str">
        <x:f>IF(B190&gt;'Pilotage'!$C$6,"",IF(OR(NOT(ISNUMBER(E190)),NOT(ISNUMBER(H190))),"Données incomplètes",IF(OR(ABS(E190)&gt;'Pilotage'!$C$11,ABS(H190)&gt;'Pilotage'!$C$11),"Écart monétaire","OK")))</x:f>
        <x:v>OK</x:v>
      </x:c>
      <x:c r="J190" s="30"/>
      <x:c r="K190" s="30"/>
      <x:c r="L190" s="30"/>
      <x:c r="M190" s="30"/>
      <x:c r="N190" s="30"/>
      <x:c r="O190" s="30"/>
      <x:c r="P190" s="30"/>
      <x:c r="Q190" s="30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31" t="n">
        <x:f>'Calculs'!B206</x:f>
        <x:v>46286</x:v>
      </x:c>
      <x:c r="C191" s="32" t="n">
        <x:f>'Calculs'!D206</x:f>
        <x:v>488855.6</x:v>
      </x:c>
      <x:c r="D191" s="32" t="n">
        <x:f>IF('Calculs'!M206=1,SUMIFS('Dépositaire'!$U$7:$U$26,'Dépositaire'!$T$7:$T$26,B191),"n.d.")</x:f>
        <x:v>488855.6</x:v>
      </x:c>
      <x:c r="E191" s="32" t="n">
        <x:f>IF(ISNUMBER(D191),ROUND(C191-D191,2),"n.d.")</x:f>
        <x:v>0</x:v>
      </x:c>
      <x:c r="F191" s="32" t="n">
        <x:f>'Calculs'!H206</x:f>
        <x:v>1001690.2</x:v>
      </x:c>
      <x:c r="G191" s="32" t="n">
        <x:f>'Calculs'!K206</x:f>
        <x:v>1001690.2</x:v>
      </x:c>
      <x:c r="H191" s="32" t="n">
        <x:f>'Calculs'!L206</x:f>
        <x:v>0</x:v>
      </x:c>
      <x:c r="I191" s="30" t="str">
        <x:f>IF(B191&gt;'Pilotage'!$C$6,"",IF(OR(NOT(ISNUMBER(E191)),NOT(ISNUMBER(H191))),"Données incomplètes",IF(OR(ABS(E191)&gt;'Pilotage'!$C$11,ABS(H191)&gt;'Pilotage'!$C$11),"Écart monétaire","OK")))</x:f>
        <x:v>OK</x:v>
      </x:c>
      <x:c r="J191" s="30"/>
      <x:c r="K191" s="30"/>
      <x:c r="L191" s="30"/>
      <x:c r="M191" s="30"/>
      <x:c r="N191" s="30"/>
      <x:c r="O191" s="30"/>
      <x:c r="P191" s="30"/>
      <x:c r="Q191" s="30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31" t="n">
        <x:f>'Calculs'!B207</x:f>
        <x:v>46287</x:v>
      </x:c>
      <x:c r="C192" s="32" t="n">
        <x:f>'Calculs'!D207</x:f>
        <x:v>499425.39999999997</x:v>
      </x:c>
      <x:c r="D192" s="32" t="n">
        <x:f>IF('Calculs'!M207=1,SUMIFS('Dépositaire'!$U$7:$U$26,'Dépositaire'!$T$7:$T$26,B192),"n.d.")</x:f>
        <x:v>499425.4</x:v>
      </x:c>
      <x:c r="E192" s="32" t="n">
        <x:f>IF(ISNUMBER(D192),ROUND(C192-D192,2),"n.d.")</x:f>
        <x:v>0</x:v>
      </x:c>
      <x:c r="F192" s="32" t="n">
        <x:f>'Calculs'!H207</x:f>
        <x:v>1001790</x:v>
      </x:c>
      <x:c r="G192" s="32" t="n">
        <x:f>'Calculs'!K207</x:f>
        <x:v>1001790</x:v>
      </x:c>
      <x:c r="H192" s="32" t="n">
        <x:f>'Calculs'!L207</x:f>
        <x:v>0</x:v>
      </x:c>
      <x:c r="I192" s="30" t="str">
        <x:f>IF(B192&gt;'Pilotage'!$C$6,"",IF(OR(NOT(ISNUMBER(E192)),NOT(ISNUMBER(H192))),"Données incomplètes",IF(OR(ABS(E192)&gt;'Pilotage'!$C$11,ABS(H192)&gt;'Pilotage'!$C$11),"Écart monétaire","OK")))</x:f>
        <x:v>OK</x:v>
      </x:c>
      <x:c r="J192" s="30"/>
      <x:c r="K192" s="30"/>
      <x:c r="L192" s="30"/>
      <x:c r="M192" s="30"/>
      <x:c r="N192" s="30"/>
      <x:c r="O192" s="30"/>
      <x:c r="P192" s="30"/>
      <x:c r="Q192" s="30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31" t="n">
        <x:f>'Calculs'!B208</x:f>
        <x:v>46288</x:v>
      </x:c>
      <x:c r="C193" s="32" t="n">
        <x:f>'Calculs'!D208</x:f>
        <x:v>481694.8</x:v>
      </x:c>
      <x:c r="D193" s="32" t="n">
        <x:f>IF('Calculs'!M208=1,SUMIFS('Dépositaire'!$U$7:$U$26,'Dépositaire'!$T$7:$T$26,B193),"n.d.")</x:f>
        <x:v>481694.8</x:v>
      </x:c>
      <x:c r="E193" s="32" t="n">
        <x:f>IF(ISNUMBER(D193),ROUND(C193-D193,2),"n.d.")</x:f>
        <x:v>0</x:v>
      </x:c>
      <x:c r="F193" s="32" t="n">
        <x:f>'Calculs'!H208</x:f>
        <x:v>1002732.15</x:v>
      </x:c>
      <x:c r="G193" s="32" t="n">
        <x:f>'Calculs'!K208</x:f>
        <x:v>1002732.15</x:v>
      </x:c>
      <x:c r="H193" s="32" t="n">
        <x:f>'Calculs'!L208</x:f>
        <x:v>0</x:v>
      </x:c>
      <x:c r="I193" s="30" t="str">
        <x:f>IF(B193&gt;'Pilotage'!$C$6,"",IF(OR(NOT(ISNUMBER(E193)),NOT(ISNUMBER(H193))),"Données incomplètes",IF(OR(ABS(E193)&gt;'Pilotage'!$C$11,ABS(H193)&gt;'Pilotage'!$C$11),"Écart monétaire","OK")))</x:f>
        <x:v>OK</x:v>
      </x:c>
      <x:c r="J193" s="30"/>
      <x:c r="K193" s="30"/>
      <x:c r="L193" s="30"/>
      <x:c r="M193" s="30"/>
      <x:c r="N193" s="30"/>
      <x:c r="O193" s="30"/>
      <x:c r="P193" s="30"/>
      <x:c r="Q193" s="30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31" t="n">
        <x:f>'Calculs'!B209</x:f>
        <x:v>46289</x:v>
      </x:c>
      <x:c r="C194" s="32" t="n">
        <x:f>'Calculs'!D209</x:f>
        <x:v>479828.8</x:v>
      </x:c>
      <x:c r="D194" s="32" t="n">
        <x:f>IF('Calculs'!M209=1,SUMIFS('Dépositaire'!$U$7:$U$26,'Dépositaire'!$T$7:$T$26,B194),"n.d.")</x:f>
        <x:v>479828.8</x:v>
      </x:c>
      <x:c r="E194" s="32" t="n">
        <x:f>IF(ISNUMBER(D194),ROUND(C194-D194,2),"n.d.")</x:f>
        <x:v>0</x:v>
      </x:c>
      <x:c r="F194" s="32" t="n">
        <x:f>'Calculs'!H209</x:f>
        <x:v>1002596.65</x:v>
      </x:c>
      <x:c r="G194" s="32" t="n">
        <x:f>'Calculs'!K209</x:f>
        <x:v>1002596.65</x:v>
      </x:c>
      <x:c r="H194" s="32" t="n">
        <x:f>'Calculs'!L209</x:f>
        <x:v>0</x:v>
      </x:c>
      <x:c r="I194" s="30" t="str">
        <x:f>IF(B194&gt;'Pilotage'!$C$6,"",IF(OR(NOT(ISNUMBER(E194)),NOT(ISNUMBER(H194))),"Données incomplètes",IF(OR(ABS(E194)&gt;'Pilotage'!$C$11,ABS(H194)&gt;'Pilotage'!$C$11),"Écart monétaire","OK")))</x:f>
        <x:v>OK</x:v>
      </x:c>
      <x:c r="J194" s="30"/>
      <x:c r="K194" s="30"/>
      <x:c r="L194" s="30"/>
      <x:c r="M194" s="30"/>
      <x:c r="N194" s="30"/>
      <x:c r="O194" s="30"/>
      <x:c r="P194" s="30"/>
      <x:c r="Q194" s="30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31" t="n">
        <x:f>'Calculs'!B210</x:f>
        <x:v>46290</x:v>
      </x:c>
      <x:c r="C195" s="32" t="n">
        <x:f>'Calculs'!D210</x:f>
        <x:v>471063.5</x:v>
      </x:c>
      <x:c r="D195" s="32" t="n">
        <x:f>IF('Calculs'!M210=1,SUMIFS('Dépositaire'!$U$7:$U$26,'Dépositaire'!$T$7:$T$26,B195),"n.d.")</x:f>
        <x:v>471063.5</x:v>
      </x:c>
      <x:c r="E195" s="32" t="n">
        <x:f>IF(ISNUMBER(D195),ROUND(C195-D195,2),"n.d.")</x:f>
        <x:v>0</x:v>
      </x:c>
      <x:c r="F195" s="32" t="n">
        <x:f>'Calculs'!H210</x:f>
        <x:v>1002641.1</x:v>
      </x:c>
      <x:c r="G195" s="32" t="n">
        <x:f>'Calculs'!K210</x:f>
        <x:v>1002641.1</x:v>
      </x:c>
      <x:c r="H195" s="32" t="n">
        <x:f>'Calculs'!L210</x:f>
        <x:v>0</x:v>
      </x:c>
      <x:c r="I195" s="30" t="str">
        <x:f>IF(B195&gt;'Pilotage'!$C$6,"",IF(OR(NOT(ISNUMBER(E195)),NOT(ISNUMBER(H195))),"Données incomplètes",IF(OR(ABS(E195)&gt;'Pilotage'!$C$11,ABS(H195)&gt;'Pilotage'!$C$11),"Écart monétaire","OK")))</x:f>
        <x:v>OK</x:v>
      </x:c>
      <x:c r="J195" s="30"/>
      <x:c r="K195" s="30"/>
      <x:c r="L195" s="30"/>
      <x:c r="M195" s="30"/>
      <x:c r="N195" s="30"/>
      <x:c r="O195" s="30"/>
      <x:c r="P195" s="30"/>
      <x:c r="Q195" s="30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31" t="n">
        <x:f>'Calculs'!B211</x:f>
        <x:v>46293</x:v>
      </x:c>
      <x:c r="C196" s="32" t="n">
        <x:f>'Calculs'!D211</x:f>
        <x:v>466870</x:v>
      </x:c>
      <x:c r="D196" s="32" t="str">
        <x:f>IF('Calculs'!M211=1,SUMIFS('Dépositaire'!$U$7:$U$26,'Dépositaire'!$T$7:$T$26,B196),"n.d.")</x:f>
        <x:v>n.d.</x:v>
      </x:c>
      <x:c r="E196" s="32" t="str">
        <x:f>IF(ISNUMBER(D196),ROUND(C196-D196,2),"n.d.")</x:f>
        <x:v>n.d.</x:v>
      </x:c>
      <x:c r="F196" s="32" t="str">
        <x:f>'Calculs'!H211</x:f>
        <x:v>n.d.</x:v>
      </x:c>
      <x:c r="G196" s="32" t="str">
        <x:f>'Calculs'!K211</x:f>
        <x:v>n.d.</x:v>
      </x:c>
      <x:c r="H196" s="32" t="str">
        <x:f>'Calculs'!L211</x:f>
        <x:v>n.d.</x:v>
      </x:c>
      <x:c r="I196" s="30" t="str">
        <x:f>IF(B196&gt;'Pilotage'!$C$6,"",IF(OR(NOT(ISNUMBER(E196)),NOT(ISNUMBER(H196))),"Données incomplètes",IF(OR(ABS(E196)&gt;'Pilotage'!$C$11,ABS(H196)&gt;'Pilotage'!$C$11),"Écart monétaire","OK")))</x:f>
      </x:c>
      <x:c r="J196" s="30"/>
      <x:c r="K196" s="30"/>
      <x:c r="L196" s="30"/>
      <x:c r="M196" s="30"/>
      <x:c r="N196" s="30"/>
      <x:c r="O196" s="30"/>
      <x:c r="P196" s="30"/>
      <x:c r="Q196" s="30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31" t="n">
        <x:f>'Calculs'!B212</x:f>
        <x:v>46294</x:v>
      </x:c>
      <x:c r="C197" s="32" t="n">
        <x:f>'Calculs'!D212</x:f>
        <x:v>472584.79999999993</x:v>
      </x:c>
      <x:c r="D197" s="32" t="str">
        <x:f>IF('Calculs'!M212=1,SUMIFS('Dépositaire'!$U$7:$U$26,'Dépositaire'!$T$7:$T$26,B197),"n.d.")</x:f>
        <x:v>n.d.</x:v>
      </x:c>
      <x:c r="E197" s="32" t="str">
        <x:f>IF(ISNUMBER(D197),ROUND(C197-D197,2),"n.d.")</x:f>
        <x:v>n.d.</x:v>
      </x:c>
      <x:c r="F197" s="32" t="str">
        <x:f>'Calculs'!H212</x:f>
        <x:v>n.d.</x:v>
      </x:c>
      <x:c r="G197" s="32" t="str">
        <x:f>'Calculs'!K212</x:f>
        <x:v>n.d.</x:v>
      </x:c>
      <x:c r="H197" s="32" t="str">
        <x:f>'Calculs'!L212</x:f>
        <x:v>n.d.</x:v>
      </x:c>
      <x:c r="I197" s="30" t="str">
        <x:f>IF(B197&gt;'Pilotage'!$C$6,"",IF(OR(NOT(ISNUMBER(E197)),NOT(ISNUMBER(H197))),"Données incomplètes",IF(OR(ABS(E197)&gt;'Pilotage'!$C$11,ABS(H197)&gt;'Pilotage'!$C$11),"Écart monétaire","OK")))</x:f>
      </x:c>
      <x:c r="J197" s="30"/>
      <x:c r="K197" s="30"/>
      <x:c r="L197" s="30"/>
      <x:c r="M197" s="30"/>
      <x:c r="N197" s="30"/>
      <x:c r="O197" s="30"/>
      <x:c r="P197" s="30"/>
      <x:c r="Q197" s="30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31" t="n">
        <x:f>'Calculs'!B213</x:f>
        <x:v>46295</x:v>
      </x:c>
      <x:c r="C198" s="32" t="n">
        <x:f>'Calculs'!D213</x:f>
        <x:v>472584.79999999993</x:v>
      </x:c>
      <x:c r="D198" s="32" t="str">
        <x:f>IF('Calculs'!M213=1,SUMIFS('Dépositaire'!$U$7:$U$26,'Dépositaire'!$T$7:$T$26,B198),"n.d.")</x:f>
        <x:v>n.d.</x:v>
      </x:c>
      <x:c r="E198" s="32" t="str">
        <x:f>IF(ISNUMBER(D198),ROUND(C198-D198,2),"n.d.")</x:f>
        <x:v>n.d.</x:v>
      </x:c>
      <x:c r="F198" s="32" t="str">
        <x:f>'Calculs'!H213</x:f>
        <x:v>n.d.</x:v>
      </x:c>
      <x:c r="G198" s="32" t="str">
        <x:f>'Calculs'!K213</x:f>
        <x:v>n.d.</x:v>
      </x:c>
      <x:c r="H198" s="32" t="str">
        <x:f>'Calculs'!L213</x:f>
        <x:v>n.d.</x:v>
      </x:c>
      <x:c r="I198" s="30" t="str">
        <x:f>IF(B198&gt;'Pilotage'!$C$6,"",IF(OR(NOT(ISNUMBER(E198)),NOT(ISNUMBER(H198))),"Données incomplètes",IF(OR(ABS(E198)&gt;'Pilotage'!$C$11,ABS(H198)&gt;'Pilotage'!$C$11),"Écart monétaire","OK")))</x:f>
      </x:c>
      <x:c r="J198" s="30"/>
      <x:c r="K198" s="30"/>
      <x:c r="L198" s="30"/>
      <x:c r="M198" s="30"/>
      <x:c r="N198" s="30"/>
      <x:c r="O198" s="30"/>
      <x:c r="P198" s="30"/>
      <x:c r="Q198" s="30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31" t="n">
        <x:f>'Calculs'!B214</x:f>
        <x:v>46296</x:v>
      </x:c>
      <x:c r="C199" s="32" t="n">
        <x:f>'Calculs'!D214</x:f>
        <x:v>472584.79999999993</x:v>
      </x:c>
      <x:c r="D199" s="32" t="str">
        <x:f>IF('Calculs'!M214=1,SUMIFS('Dépositaire'!$U$7:$U$26,'Dépositaire'!$T$7:$T$26,B199),"n.d.")</x:f>
        <x:v>n.d.</x:v>
      </x:c>
      <x:c r="E199" s="32" t="str">
        <x:f>IF(ISNUMBER(D199),ROUND(C199-D199,2),"n.d.")</x:f>
        <x:v>n.d.</x:v>
      </x:c>
      <x:c r="F199" s="32" t="str">
        <x:f>'Calculs'!H214</x:f>
        <x:v>n.d.</x:v>
      </x:c>
      <x:c r="G199" s="32" t="str">
        <x:f>'Calculs'!K214</x:f>
        <x:v>n.d.</x:v>
      </x:c>
      <x:c r="H199" s="32" t="str">
        <x:f>'Calculs'!L214</x:f>
        <x:v>n.d.</x:v>
      </x:c>
      <x:c r="I199" s="30" t="str">
        <x:f>IF(B199&gt;'Pilotage'!$C$6,"",IF(OR(NOT(ISNUMBER(E199)),NOT(ISNUMBER(H199))),"Données incomplètes",IF(OR(ABS(E199)&gt;'Pilotage'!$C$11,ABS(H199)&gt;'Pilotage'!$C$11),"Écart monétaire","OK")))</x:f>
      </x:c>
      <x:c r="J199" s="30"/>
      <x:c r="K199" s="30"/>
      <x:c r="L199" s="30"/>
      <x:c r="M199" s="30"/>
      <x:c r="N199" s="30"/>
      <x:c r="O199" s="30"/>
      <x:c r="P199" s="30"/>
      <x:c r="Q199" s="30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31" t="n">
        <x:f>'Calculs'!B215</x:f>
        <x:v>46297</x:v>
      </x:c>
      <x:c r="C200" s="32" t="n">
        <x:f>'Calculs'!D215</x:f>
        <x:v>472584.79999999993</x:v>
      </x:c>
      <x:c r="D200" s="32" t="str">
        <x:f>IF('Calculs'!M215=1,SUMIFS('Dépositaire'!$U$7:$U$26,'Dépositaire'!$T$7:$T$26,B200),"n.d.")</x:f>
        <x:v>n.d.</x:v>
      </x:c>
      <x:c r="E200" s="32" t="str">
        <x:f>IF(ISNUMBER(D200),ROUND(C200-D200,2),"n.d.")</x:f>
        <x:v>n.d.</x:v>
      </x:c>
      <x:c r="F200" s="32" t="str">
        <x:f>'Calculs'!H215</x:f>
        <x:v>n.d.</x:v>
      </x:c>
      <x:c r="G200" s="32" t="str">
        <x:f>'Calculs'!K215</x:f>
        <x:v>n.d.</x:v>
      </x:c>
      <x:c r="H200" s="32" t="str">
        <x:f>'Calculs'!L215</x:f>
        <x:v>n.d.</x:v>
      </x:c>
      <x:c r="I200" s="30" t="str">
        <x:f>IF(B200&gt;'Pilotage'!$C$6,"",IF(OR(NOT(ISNUMBER(E200)),NOT(ISNUMBER(H200))),"Données incomplètes",IF(OR(ABS(E200)&gt;'Pilotage'!$C$11,ABS(H200)&gt;'Pilotage'!$C$11),"Écart monétaire","OK")))</x:f>
      </x:c>
      <x:c r="J200" s="30"/>
      <x:c r="K200" s="30"/>
      <x:c r="L200" s="30"/>
      <x:c r="M200" s="30"/>
      <x:c r="N200" s="30"/>
      <x:c r="O200" s="30"/>
      <x:c r="P200" s="30"/>
      <x:c r="Q200" s="30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31" t="n">
        <x:f>'Calculs'!B216</x:f>
        <x:v>46300</x:v>
      </x:c>
      <x:c r="C201" s="32" t="n">
        <x:f>'Calculs'!D216</x:f>
        <x:v>472584.79999999993</x:v>
      </x:c>
      <x:c r="D201" s="32" t="str">
        <x:f>IF('Calculs'!M216=1,SUMIFS('Dépositaire'!$U$7:$U$26,'Dépositaire'!$T$7:$T$26,B201),"n.d.")</x:f>
        <x:v>n.d.</x:v>
      </x:c>
      <x:c r="E201" s="32" t="str">
        <x:f>IF(ISNUMBER(D201),ROUND(C201-D201,2),"n.d.")</x:f>
        <x:v>n.d.</x:v>
      </x:c>
      <x:c r="F201" s="32" t="str">
        <x:f>'Calculs'!H216</x:f>
        <x:v>n.d.</x:v>
      </x:c>
      <x:c r="G201" s="32" t="str">
        <x:f>'Calculs'!K216</x:f>
        <x:v>n.d.</x:v>
      </x:c>
      <x:c r="H201" s="32" t="str">
        <x:f>'Calculs'!L216</x:f>
        <x:v>n.d.</x:v>
      </x:c>
      <x:c r="I201" s="30" t="str">
        <x:f>IF(B201&gt;'Pilotage'!$C$6,"",IF(OR(NOT(ISNUMBER(E201)),NOT(ISNUMBER(H201))),"Données incomplètes",IF(OR(ABS(E201)&gt;'Pilotage'!$C$11,ABS(H201)&gt;'Pilotage'!$C$11),"Écart monétaire","OK")))</x:f>
      </x:c>
      <x:c r="J201" s="30"/>
      <x:c r="K201" s="30"/>
      <x:c r="L201" s="30"/>
      <x:c r="M201" s="30"/>
      <x:c r="N201" s="30"/>
      <x:c r="O201" s="30"/>
      <x:c r="P201" s="30"/>
      <x:c r="Q201" s="30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31" t="n">
        <x:f>'Calculs'!B217</x:f>
        <x:v>46301</x:v>
      </x:c>
      <x:c r="C202" s="32" t="n">
        <x:f>'Calculs'!D217</x:f>
        <x:v>472584.79999999993</x:v>
      </x:c>
      <x:c r="D202" s="32" t="str">
        <x:f>IF('Calculs'!M217=1,SUMIFS('Dépositaire'!$U$7:$U$26,'Dépositaire'!$T$7:$T$26,B202),"n.d.")</x:f>
        <x:v>n.d.</x:v>
      </x:c>
      <x:c r="E202" s="32" t="str">
        <x:f>IF(ISNUMBER(D202),ROUND(C202-D202,2),"n.d.")</x:f>
        <x:v>n.d.</x:v>
      </x:c>
      <x:c r="F202" s="32" t="str">
        <x:f>'Calculs'!H217</x:f>
        <x:v>n.d.</x:v>
      </x:c>
      <x:c r="G202" s="32" t="str">
        <x:f>'Calculs'!K217</x:f>
        <x:v>n.d.</x:v>
      </x:c>
      <x:c r="H202" s="32" t="str">
        <x:f>'Calculs'!L217</x:f>
        <x:v>n.d.</x:v>
      </x:c>
      <x:c r="I202" s="30" t="str">
        <x:f>IF(B202&gt;'Pilotage'!$C$6,"",IF(OR(NOT(ISNUMBER(E202)),NOT(ISNUMBER(H202))),"Données incomplètes",IF(OR(ABS(E202)&gt;'Pilotage'!$C$11,ABS(H202)&gt;'Pilotage'!$C$11),"Écart monétaire","OK")))</x:f>
      </x:c>
      <x:c r="J202" s="30"/>
      <x:c r="K202" s="30"/>
      <x:c r="L202" s="30"/>
      <x:c r="M202" s="30"/>
      <x:c r="N202" s="30"/>
      <x:c r="O202" s="30"/>
      <x:c r="P202" s="30"/>
      <x:c r="Q202" s="30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31" t="n">
        <x:f>'Calculs'!B218</x:f>
        <x:v>46302</x:v>
      </x:c>
      <x:c r="C203" s="32" t="n">
        <x:f>'Calculs'!D218</x:f>
        <x:v>472584.79999999993</x:v>
      </x:c>
      <x:c r="D203" s="32" t="str">
        <x:f>IF('Calculs'!M218=1,SUMIFS('Dépositaire'!$U$7:$U$26,'Dépositaire'!$T$7:$T$26,B203),"n.d.")</x:f>
        <x:v>n.d.</x:v>
      </x:c>
      <x:c r="E203" s="32" t="str">
        <x:f>IF(ISNUMBER(D203),ROUND(C203-D203,2),"n.d.")</x:f>
        <x:v>n.d.</x:v>
      </x:c>
      <x:c r="F203" s="32" t="str">
        <x:f>'Calculs'!H218</x:f>
        <x:v>n.d.</x:v>
      </x:c>
      <x:c r="G203" s="32" t="str">
        <x:f>'Calculs'!K218</x:f>
        <x:v>n.d.</x:v>
      </x:c>
      <x:c r="H203" s="32" t="str">
        <x:f>'Calculs'!L218</x:f>
        <x:v>n.d.</x:v>
      </x:c>
      <x:c r="I203" s="30" t="str">
        <x:f>IF(B203&gt;'Pilotage'!$C$6,"",IF(OR(NOT(ISNUMBER(E203)),NOT(ISNUMBER(H203))),"Données incomplètes",IF(OR(ABS(E203)&gt;'Pilotage'!$C$11,ABS(H203)&gt;'Pilotage'!$C$11),"Écart monétaire","OK")))</x:f>
      </x:c>
      <x:c r="J203" s="30"/>
      <x:c r="K203" s="30"/>
      <x:c r="L203" s="30"/>
      <x:c r="M203" s="30"/>
      <x:c r="N203" s="30"/>
      <x:c r="O203" s="30"/>
      <x:c r="P203" s="30"/>
      <x:c r="Q203" s="30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31" t="n">
        <x:f>'Calculs'!B219</x:f>
        <x:v>46303</x:v>
      </x:c>
      <x:c r="C204" s="32" t="n">
        <x:f>'Calculs'!D219</x:f>
        <x:v>472584.79999999993</x:v>
      </x:c>
      <x:c r="D204" s="32" t="str">
        <x:f>IF('Calculs'!M219=1,SUMIFS('Dépositaire'!$U$7:$U$26,'Dépositaire'!$T$7:$T$26,B204),"n.d.")</x:f>
        <x:v>n.d.</x:v>
      </x:c>
      <x:c r="E204" s="32" t="str">
        <x:f>IF(ISNUMBER(D204),ROUND(C204-D204,2),"n.d.")</x:f>
        <x:v>n.d.</x:v>
      </x:c>
      <x:c r="F204" s="32" t="str">
        <x:f>'Calculs'!H219</x:f>
        <x:v>n.d.</x:v>
      </x:c>
      <x:c r="G204" s="32" t="str">
        <x:f>'Calculs'!K219</x:f>
        <x:v>n.d.</x:v>
      </x:c>
      <x:c r="H204" s="32" t="str">
        <x:f>'Calculs'!L219</x:f>
        <x:v>n.d.</x:v>
      </x:c>
      <x:c r="I204" s="30" t="str">
        <x:f>IF(B204&gt;'Pilotage'!$C$6,"",IF(OR(NOT(ISNUMBER(E204)),NOT(ISNUMBER(H204))),"Données incomplètes",IF(OR(ABS(E204)&gt;'Pilotage'!$C$11,ABS(H204)&gt;'Pilotage'!$C$11),"Écart monétaire","OK")))</x:f>
      </x:c>
      <x:c r="J204" s="30"/>
      <x:c r="K204" s="30"/>
      <x:c r="L204" s="30"/>
      <x:c r="M204" s="30"/>
      <x:c r="N204" s="30"/>
      <x:c r="O204" s="30"/>
      <x:c r="P204" s="30"/>
      <x:c r="Q204" s="30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31" t="n">
        <x:f>'Calculs'!B220</x:f>
        <x:v>46304</x:v>
      </x:c>
      <x:c r="C205" s="32" t="n">
        <x:f>'Calculs'!D220</x:f>
        <x:v>472584.79999999993</x:v>
      </x:c>
      <x:c r="D205" s="32" t="str">
        <x:f>IF('Calculs'!M220=1,SUMIFS('Dépositaire'!$U$7:$U$26,'Dépositaire'!$T$7:$T$26,B205),"n.d.")</x:f>
        <x:v>n.d.</x:v>
      </x:c>
      <x:c r="E205" s="32" t="str">
        <x:f>IF(ISNUMBER(D205),ROUND(C205-D205,2),"n.d.")</x:f>
        <x:v>n.d.</x:v>
      </x:c>
      <x:c r="F205" s="32" t="str">
        <x:f>'Calculs'!H220</x:f>
        <x:v>n.d.</x:v>
      </x:c>
      <x:c r="G205" s="32" t="str">
        <x:f>'Calculs'!K220</x:f>
        <x:v>n.d.</x:v>
      </x:c>
      <x:c r="H205" s="32" t="str">
        <x:f>'Calculs'!L220</x:f>
        <x:v>n.d.</x:v>
      </x:c>
      <x:c r="I205" s="30" t="str">
        <x:f>IF(B205&gt;'Pilotage'!$C$6,"",IF(OR(NOT(ISNUMBER(E205)),NOT(ISNUMBER(H205))),"Données incomplètes",IF(OR(ABS(E205)&gt;'Pilotage'!$C$11,ABS(H205)&gt;'Pilotage'!$C$11),"Écart monétaire","OK")))</x:f>
      </x:c>
      <x:c r="J205" s="30"/>
      <x:c r="K205" s="30"/>
      <x:c r="L205" s="30"/>
      <x:c r="M205" s="30"/>
      <x:c r="N205" s="30"/>
      <x:c r="O205" s="30"/>
      <x:c r="P205" s="30"/>
      <x:c r="Q205" s="30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conditionalFormatting sqref="B7:M66">
    <x:cfRule type="expression" dxfId="0" priority="1">
      <x:formula>AND($M7&lt;&gt;"",$M7&lt;&gt;"OK")</x:formula>
    </x:cfRule>
  </x:conditionalFormatting>
  <x:conditionalFormatting sqref="B76:H175">
    <x:cfRule type="expression" dxfId="1" priority="2">
      <x:formula>AND($H76&lt;&gt;"",$H76&lt;&gt;"OK")</x:formula>
    </x:cfRule>
  </x:conditionalFormatting>
  <x:conditionalFormatting sqref="B186:I205">
    <x:cfRule type="expression" dxfId="2" priority="3">
      <x:formula>AND($I186&lt;&gt;"",$I186&lt;&gt;"OK")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38" hidden="0" customWidth="1"/>
    <x:col min="4" max="4" width="36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15" hidden="0" customWidth="1"/>
    <x:col min="10" max="10" width="2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Anomalies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IncidentID</x:v>
      </x:c>
      <x:c r="C6" s="8" t="str">
        <x:v>Catégorie</x:v>
      </x:c>
      <x:c r="D6" s="8" t="str">
        <x:v>Clé de contrôle</x:v>
      </x:c>
      <x:c r="E6" s="8" t="str">
        <x:v>Alerte active</x:v>
      </x:c>
      <x:c r="F6" s="8" t="str">
        <x:v>Statut saisi</x:v>
      </x:c>
      <x:c r="G6" s="8" t="str">
        <x:v>Diagnostic / preuve</x:v>
      </x:c>
      <x:c r="H6" s="8" t="str">
        <x:v>Action</x:v>
      </x:c>
      <x:c r="I6" s="8" t="str">
        <x:v>Date résolution</x:v>
      </x:c>
      <x:c r="J6" s="8" t="str">
        <x:v>Conclusion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78" customHeight="1">
      <x:c r="A7" s="2"/>
      <x:c r="B7" s="2" t="str">
        <x:v>INC-01</x:v>
      </x:c>
      <x:c r="C7" s="2" t="str">
        <x:v>Opération absente</x:v>
      </x:c>
      <x:c r="D7" s="2" t="str">
        <x:v>TR-016</x:v>
      </x:c>
      <x:c r="E7" s="23" t="n">
        <x:f>IF(COUNTIFS('Rapprochements'!$B$7:$B$66,D7,'Rapprochements'!$C$7:$C$66,"&lt;="&amp;'Pilotage'!$C$6,'Rapprochements'!$G$7:$G$66,0)&gt;0,1,0)</x:f>
        <x:v>0</x:v>
      </x:c>
      <x:c r="F7" s="21" t="str">
        <x:v>Clôturée</x:v>
      </x:c>
      <x:c r="G7" s="21" t="str">
        <x:v>TR-016 : confirmation dépositaire de 70 AI achetées le 21/09, absente en interne.</x:v>
      </x:c>
      <x:c r="H7" s="21" t="str">
        <x:v>COR-01 : ajout REC-016 depuis la confirmation. Source conservée.</x:v>
      </x:c>
      <x:c r="I7" s="22" t="n">
        <x:v>46290</x:v>
      </x:c>
      <x:c r="J7" s="29" t="str">
        <x:f>IF(E7&gt;0,IF(F7="Clôturée","Clôture non justifiée","À résoudre"),IF(F7="Clôturée",IF(I7="","Date de résolution à saisir","Clôturée"),"Aucune alerte à cette date"))</x:f>
        <x:v>Clôturée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78" customHeight="1">
      <x:c r="A8" s="2"/>
      <x:c r="B8" s="2" t="str">
        <x:v>INC-02</x:v>
      </x:c>
      <x:c r="C8" s="2" t="str">
        <x:v>Doublon</x:v>
      </x:c>
      <x:c r="D8" s="2" t="str">
        <x:v>TR-018</x:v>
      </x:c>
      <x:c r="E8" s="23" t="n">
        <x:f>IF(COUNTIFS('Rapprochements'!$B$7:$B$66,D8,'Rapprochements'!$C$7:$C$66,"&lt;="&amp;'Pilotage'!$C$6,'Rapprochements'!$G$7:$G$66,"&gt;1")&gt;0,1,0)</x:f>
        <x:v>0</x:v>
      </x:c>
      <x:c r="F8" s="21" t="str">
        <x:v>Clôturée</x:v>
      </x:c>
      <x:c r="G8" s="21" t="str">
        <x:v>TR-018 : deux RecordID pour un même achat de 100 Danone et une seule confirmation.</x:v>
      </x:c>
      <x:c r="H8" s="21" t="str">
        <x:v>COR-02 : exclusion de REC-018-DUP uniquement. Ligne initiale conservée.</x:v>
      </x:c>
      <x:c r="I8" s="22" t="n">
        <x:v>46290</x:v>
      </x:c>
      <x:c r="J8" s="29" t="str">
        <x:f>IF(E8&gt;0,IF(F8="Clôturée","Clôture non justifiée","À résoudre"),IF(F8="Clôturée",IF(I8="","Date de résolution à saisir","Clôturée"),"Aucune alerte à cette date"))</x:f>
        <x:v>Clôturée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78" customHeight="1">
      <x:c r="A9" s="2"/>
      <x:c r="B9" s="2" t="str">
        <x:v>INC-03</x:v>
      </x:c>
      <x:c r="C9" s="2" t="str">
        <x:v>Quantité incorrecte</x:v>
      </x:c>
      <x:c r="D9" s="2" t="str">
        <x:v>TR-019</x:v>
      </x:c>
      <x:c r="E9" s="23" t="n">
        <x:f>IF(COUNTIFS('Rapprochements'!$B$7:$B$66,D9,'Rapprochements'!$C$7:$C$66,"&lt;="&amp;'Pilotage'!$C$6,'Rapprochements'!$J$7:$J$66,"&lt;&gt;0")&gt;0,1,0)</x:f>
        <x:v>0</x:v>
      </x:c>
      <x:c r="F9" s="21" t="str">
        <x:v>Clôturée</x:v>
      </x:c>
      <x:c r="G9" s="21" t="str">
        <x:v>TR-019 : 150 Vinci internes contre 50 confirmées. Écart de 100 actions.</x:v>
      </x:c>
      <x:c r="H9" s="21" t="str">
        <x:v>COR-03 : quantité corrigée à 50, puis contrôle des positions, espèces et VL.</x:v>
      </x:c>
      <x:c r="I9" s="22" t="n">
        <x:v>46290</x:v>
      </x:c>
      <x:c r="J9" s="29" t="str">
        <x:f>IF(E9&gt;0,IF(F9="Clôturée","Clôture non justifiée","À résoudre"),IF(F9="Clôturée",IF(I9="","Date de résolution à saisir","Clôturée"),"Aucune alerte à cette date"))</x:f>
        <x:v>Clôturée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78" customHeight="1">
      <x:c r="A10" s="2"/>
      <x:c r="B10" s="2" t="str">
        <x:v>INC-04</x:v>
      </x:c>
      <x:c r="C10" s="2" t="str">
        <x:v>Flux non comptabilisé</x:v>
      </x:c>
      <x:c r="D10" s="2" t="str">
        <x:v>BANK-001</x:v>
      </x:c>
      <x:c r="E10" s="23" t="n">
        <x:f>IF('Pilotage'!$C$6&lt;46288,0,IF(ABS(SUMIFS('Transactions'!$Q$7:$Q$26,'Transactions'!$O$7:$O$26,D10)+IF(COUNTIFS('Transactions'!$O$7:$O$26,D10)=0,SUMIFS('Anomalies'!$E$19:$E$23,'Anomalies'!$C$19:$C$23,D10,'Anomalies'!$D$19:$D$23,"FluxEUR",'Anomalies'!$F$19:$F$23,"OUI"),0)-SUMIFS('Dépositaire'!$V$31:$V$50,'Dépositaire'!$T$31:$T$50,D10))&gt;'Pilotage'!$C$11,1,0))</x:f>
        <x:v>0</x:v>
      </x:c>
      <x:c r="F10" s="21" t="str">
        <x:v>Clôturée</x:v>
      </x:c>
      <x:c r="G10" s="21" t="str">
        <x:v>BANK-001 : débit bancaire confirmé de 25 EUR au 23/09 absent du registre interne.</x:v>
      </x:c>
      <x:c r="H10" s="21" t="str">
        <x:v>COR-04 : flux de -25 EUR au 23/09. Le courtage des opérations n’est pas déduit deux fois.</x:v>
      </x:c>
      <x:c r="I10" s="22" t="n">
        <x:v>46290</x:v>
      </x:c>
      <x:c r="J10" s="29" t="str">
        <x:f>IF(E10&gt;0,IF(F10="Clôturée","Clôture non justifiée","À résoudre"),IF(F10="Clôturée",IF(I10="","Date de résolution à saisir","Clôturée"),"Aucune alerte à cette date"))</x:f>
        <x:v>Clôturée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78" customHeight="1">
      <x:c r="A11" s="2"/>
      <x:c r="B11" s="2" t="str">
        <x:v>INC-05</x:v>
      </x:c>
      <x:c r="C11" s="2" t="str">
        <x:v>Cours périmé</x:v>
      </x:c>
      <x:c r="D11" s="2" t="str">
        <x:v>FR0000120073_2026-09-24</x:v>
      </x:c>
      <x:c r="E11" s="23" t="n">
        <x:f>IF('Pilotage'!$C$6&lt;&gt;46289,0,IF('Calculs'!M131="OK",0,1))</x:f>
        <x:v>0</x:v>
      </x:c>
      <x:c r="F11" s="21" t="str">
        <x:v>Clôturée</x:v>
      </x:c>
      <x:c r="G11" s="21" t="str">
        <x:v>AI au 24/09 : cours daté du 23/09. Cours fictif de référence du 24/09 : 167.59 EUR.</x:v>
      </x:c>
      <x:c r="H11" s="21" t="str">
        <x:v>COR-05 : remplacement du cours et de sa date par la référence simulée du 24/09.</x:v>
      </x:c>
      <x:c r="I11" s="22" t="n">
        <x:v>46290</x:v>
      </x:c>
      <x:c r="J11" s="29" t="str">
        <x:f>IF(E11&gt;0,IF(F11="Clôturée","Clôture non justifiée","À résoudre"),IF(F11="Clôturée",IF(I11="","Date de résolution à saisir","Clôturée"),"Aucune alerte à cette date"))</x:f>
        <x:v>Clôturée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78" customHeight="1">
      <x:c r="A12" s="2"/>
      <x:c r="B12" s="2" t="str">
        <x:v>INC-06</x:v>
      </x:c>
      <x:c r="C12" s="2" t="str">
        <x:v>Règlement en retard</x:v>
      </x:c>
      <x:c r="D12" s="2" t="str">
        <x:v>TR-017</x:v>
      </x:c>
      <x:c r="E12" s="23" t="n">
        <x:f>SUMIFS('Rapprochements'!$L$7:$L$66,'Rapprochements'!$B$7:$B$66,D12)</x:f>
        <x:v>0</x:v>
      </x:c>
      <x:c r="F12" s="21" t="str">
        <x:v>Clôturée</x:v>
      </x:c>
      <x:c r="G12" s="21" t="str">
        <x:v>TR-017 : règlement prévu au 23/09, livraison effective au 25/09. Dette maintenue en attente.</x:v>
      </x:c>
      <x:c r="H12" s="21" t="str">
        <x:v>Suivi du retard et confirmation au 25/09. Aucune correction artificielle des espèces.</x:v>
      </x:c>
      <x:c r="I12" s="22" t="n">
        <x:v>46290</x:v>
      </x:c>
      <x:c r="J12" s="29" t="str">
        <x:f>IF(E12&gt;0,IF(F12="Clôturée","Clôture non justifiée","À résoudre"),IF(F12="Clôturée",IF(I12="","Date de résolution à saisir","Clôturée"),"Aucune alerte à cette date"))</x:f>
        <x:v>Clôturée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0" customHeight="1">
      <x:c r="A16" s="2"/>
      <x:c r="B16" s="9" t="str">
        <x:v>Corrections justifiées. Appliquer = OUI dans le corrigé livré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34" customHeight="1">
      <x:c r="A18" s="2"/>
      <x:c r="B18" s="8" t="str">
        <x:v>CorrectionID</x:v>
      </x:c>
      <x:c r="C18" s="8" t="str">
        <x:v>RecordID</x:v>
      </x:c>
      <x:c r="D18" s="8" t="str">
        <x:v>Champ</x:v>
      </x:c>
      <x:c r="E18" s="8" t="str">
        <x:v>Valeur</x:v>
      </x:c>
      <x:c r="F18" s="8" t="str">
        <x:v>Appliquer</x:v>
      </x:c>
      <x:c r="G18" s="8" t="str">
        <x:v>Motif</x:v>
      </x:c>
      <x:c r="H18" s="8" t="str">
        <x:v>DateEffet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36" customHeight="1">
      <x:c r="A19" s="2"/>
      <x:c r="B19" s="2" t="str">
        <x:v>COR-01</x:v>
      </x:c>
      <x:c r="C19" s="2" t="str">
        <x:v>REC-016</x:v>
      </x:c>
      <x:c r="D19" s="2" t="str">
        <x:v>Ajout</x:v>
      </x:c>
      <x:c r="E19" s="16" t="n">
        <x:v>1</x:v>
      </x:c>
      <x:c r="F19" s="25" t="str">
        <x:v>OUI</x:v>
      </x:c>
      <x:c r="G19" s="21" t="str">
        <x:v>Rétablir l’opération depuis la confirmation</x:v>
      </x:c>
      <x:c r="H19" s="17" t="n">
        <x:v>46286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36" customHeight="1">
      <x:c r="A20" s="2"/>
      <x:c r="B20" s="2" t="str">
        <x:v>COR-02</x:v>
      </x:c>
      <x:c r="C20" s="2" t="str">
        <x:v>REC-018-DUP</x:v>
      </x:c>
      <x:c r="D20" s="2" t="str">
        <x:v>Exclure</x:v>
      </x:c>
      <x:c r="E20" s="16" t="n">
        <x:v>1</x:v>
      </x:c>
      <x:c r="F20" s="25" t="str">
        <x:v>OUI</x:v>
      </x:c>
      <x:c r="G20" s="21" t="str">
        <x:v>Écarter la copie dupliquée, conserver la trace</x:v>
      </x:c>
      <x:c r="H20" s="17" t="n">
        <x:v>46286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36" customHeight="1">
      <x:c r="A21" s="2"/>
      <x:c r="B21" s="2" t="str">
        <x:v>COR-03</x:v>
      </x:c>
      <x:c r="C21" s="2" t="str">
        <x:v>REC-019</x:v>
      </x:c>
      <x:c r="D21" s="2" t="str">
        <x:v>Quantite</x:v>
      </x:c>
      <x:c r="E21" s="16" t="n">
        <x:v>50</x:v>
      </x:c>
      <x:c r="F21" s="25" t="str">
        <x:v>OUI</x:v>
      </x:c>
      <x:c r="G21" s="21" t="str">
        <x:v>Quantité confirmée : 50 actions</x:v>
      </x:c>
      <x:c r="H21" s="17" t="n">
        <x:v>46287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36" customHeight="1">
      <x:c r="A22" s="2"/>
      <x:c r="B22" s="2" t="str">
        <x:v>COR-04</x:v>
      </x:c>
      <x:c r="C22" s="2" t="str">
        <x:v>BANK-001</x:v>
      </x:c>
      <x:c r="D22" s="2" t="str">
        <x:v>FluxEUR</x:v>
      </x:c>
      <x:c r="E22" s="16" t="n">
        <x:v>-25</x:v>
      </x:c>
      <x:c r="F22" s="25" t="str">
        <x:v>OUI</x:v>
      </x:c>
      <x:c r="G22" s="21" t="str">
        <x:v>Comptabiliser le débit bancaire confirmé</x:v>
      </x:c>
      <x:c r="H22" s="17" t="n">
        <x:v>46288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36" customHeight="1">
      <x:c r="A23" s="2"/>
      <x:c r="B23" s="2" t="str">
        <x:v>COR-05</x:v>
      </x:c>
      <x:c r="C23" s="2" t="str">
        <x:v>FR0000120073_2026-09-24</x:v>
      </x:c>
      <x:c r="D23" s="2" t="str">
        <x:v>CoursEUR</x:v>
      </x:c>
      <x:c r="E23" s="16" t="n">
        <x:v>167.59</x:v>
      </x:c>
      <x:c r="F23" s="25" t="str">
        <x:v>OUI</x:v>
      </x:c>
      <x:c r="G23" s="21" t="str">
        <x:v>Cours fictif de référence du 24/09, date de cours actualisée</x:v>
      </x:c>
      <x:c r="H23" s="17" t="n">
        <x:v>46289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0" customHeight="1">
      <x:c r="A27" s="2"/>
      <x:c r="B27" s="9" t="str">
        <x:v>Le retard TR-017 se résout au 25/09, date de livraison confirmée.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0" customHeight="1">
      <x:c r="A30" s="2"/>
      <x:c r="B30" s="9" t="str">
        <x:v>Opérations complémentaires proposées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34" customHeight="1">
      <x:c r="A32" s="2"/>
      <x:c r="B32" s="8" t="str">
        <x:v>RecordID</x:v>
      </x:c>
      <x:c r="C32" s="8" t="str">
        <x:v>TradeID</x:v>
      </x:c>
      <x:c r="D32" s="8" t="str">
        <x:v>DateNegociation</x:v>
      </x:c>
      <x:c r="E32" s="8" t="str">
        <x:v>DatePrevue</x:v>
      </x:c>
      <x:c r="F32" s="8" t="str">
        <x:v>DateEffective</x:v>
      </x:c>
      <x:c r="G32" s="8" t="str">
        <x:v>ISIN</x:v>
      </x:c>
      <x:c r="H32" s="8" t="str">
        <x:v>Sens</x:v>
      </x:c>
      <x:c r="I32" s="8" t="str">
        <x:v>Quantite</x:v>
      </x:c>
      <x:c r="J32" s="8" t="str">
        <x:v>PrixExecutionSimule</x:v>
      </x:c>
      <x:c r="K32" s="8" t="str">
        <x:v>CourtageEUR</x:v>
      </x:c>
      <x:c r="L32" s="8" t="str">
        <x:v>Devise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2" t="str">
        <x:v>REC-016</x:v>
      </x:c>
      <x:c r="C33" s="2" t="str">
        <x:v>TR-016</x:v>
      </x:c>
      <x:c r="D33" s="11" t="n">
        <x:v>46286</x:v>
      </x:c>
      <x:c r="E33" s="11" t="n">
        <x:v>46288</x:v>
      </x:c>
      <x:c r="F33" s="11" t="n">
        <x:v>46288</x:v>
      </x:c>
      <x:c r="G33" s="2" t="str">
        <x:v>FR0000120073</x:v>
      </x:c>
      <x:c r="H33" s="2" t="str">
        <x:v>ACHAT</x:v>
      </x:c>
      <x:c r="I33" s="2" t="n">
        <x:v>70</x:v>
      </x:c>
      <x:c r="J33" s="2" t="n">
        <x:v>166.68</x:v>
      </x:c>
      <x:c r="K33" s="2" t="n">
        <x:v>5</x:v>
      </x:c>
      <x:c r="L33" s="2" t="str">
        <x:v>EUR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2"/>
      <x:c r="C34" s="2"/>
      <x:c r="D34" s="11"/>
      <x:c r="E34" s="11"/>
      <x:c r="F34" s="11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2"/>
      <x:c r="C35" s="2"/>
      <x:c r="D35" s="11"/>
      <x:c r="E35" s="11"/>
      <x:c r="F35" s="11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2"/>
      <x:c r="C36" s="2"/>
      <x:c r="D36" s="11"/>
      <x:c r="E36" s="11"/>
      <x:c r="F36" s="11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2"/>
      <x:c r="C37" s="2"/>
      <x:c r="D37" s="11"/>
      <x:c r="E37" s="11"/>
      <x:c r="F37" s="11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2"/>
      <x:c r="C38" s="2"/>
      <x:c r="D38" s="11"/>
      <x:c r="E38" s="11"/>
      <x:c r="F38" s="11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2"/>
      <x:c r="C39" s="2"/>
      <x:c r="D39" s="11"/>
      <x:c r="E39" s="11"/>
      <x:c r="F39" s="11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2"/>
      <x:c r="C40" s="2"/>
      <x:c r="D40" s="11"/>
      <x:c r="E40" s="11"/>
      <x:c r="F40" s="11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2"/>
      <x:c r="C41" s="2"/>
      <x:c r="D41" s="11"/>
      <x:c r="E41" s="11"/>
      <x:c r="F41" s="11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2"/>
      <x:c r="C42" s="2"/>
      <x:c r="D42" s="11"/>
      <x:c r="E42" s="11"/>
      <x:c r="F42" s="11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2" t="str">
        <x:v>Les corrections sont distinctes des imports. Une clôture saisie ne supprime jamais une alerte calculée.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conditionalFormatting sqref="B7:J12">
    <x:cfRule type="expression" dxfId="3" priority="1">
      <x:formula>$E7&gt;0</x:formula>
    </x:cfRule>
  </x:conditionalFormatting>
  <x:dataValidations count="2">
    <x:dataValidation type="list" sqref="F7:F12">
      <x:formula1>"À analyser,En cours,Clôturée"</x:formula1>
    </x:dataValidation>
    <x:dataValidation type="list" sqref="F19:F23">
      <x:formula1>"NON,OUI"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2a52de4e51f1481d"/>
    <x:tablePart xmlns:r="http://schemas.openxmlformats.org/officeDocument/2006/relationships" r:id="R1a88d289650c407d"/>
    <x:tablePart xmlns:r="http://schemas.openxmlformats.org/officeDocument/2006/relationships" r:id="Rf2f7d4f47c764a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Transactions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10" t="str">
        <x:v>Données simulées importées. Conserver les enregistrements d’origine.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RecordID</x:v>
      </x:c>
      <x:c r="C6" s="8" t="str">
        <x:v>TradeID</x:v>
      </x:c>
      <x:c r="D6" s="8" t="str">
        <x:v>DateNegociation</x:v>
      </x:c>
      <x:c r="E6" s="8" t="str">
        <x:v>DatePrevue</x:v>
      </x:c>
      <x:c r="F6" s="8" t="str">
        <x:v>DateEffective</x:v>
      </x:c>
      <x:c r="G6" s="8" t="str">
        <x:v>ISIN</x:v>
      </x:c>
      <x:c r="H6" s="8" t="str">
        <x:v>Sens</x:v>
      </x:c>
      <x:c r="I6" s="8" t="str">
        <x:v>Quantite</x:v>
      </x:c>
      <x:c r="J6" s="8" t="str">
        <x:v>PrixExecutionSimule</x:v>
      </x:c>
      <x:c r="K6" s="8" t="str">
        <x:v>CourtageEUR</x:v>
      </x:c>
      <x:c r="L6" s="8" t="str">
        <x:v>Devise</x:v>
      </x:c>
      <x:c r="M6" s="2"/>
      <x:c r="N6" s="2"/>
      <x:c r="O6" s="8" t="str">
        <x:v>CashID</x:v>
      </x:c>
      <x:c r="P6" s="8" t="str">
        <x:v>Date</x:v>
      </x:c>
      <x:c r="Q6" s="8" t="str">
        <x:v>MontantEUR</x:v>
      </x:c>
      <x:c r="R6" s="8" t="str">
        <x:v>Libelle</x:v>
      </x:c>
      <x:c r="S6" s="2"/>
      <x:c r="T6" s="8" t="str">
        <x:v>DossierCharge</x:v>
      </x:c>
      <x:c r="U6" s="8" t="str">
        <x:v>Transactions</x:v>
      </x:c>
      <x:c r="V6" s="8" t="str">
        <x:v>Reglements</x:v>
      </x:c>
      <x:c r="W6" s="8" t="str">
        <x:v>Cours</x:v>
      </x:c>
      <x:c r="X6" s="8" t="str">
        <x:v>Positions</x:v>
      </x:c>
      <x:c r="Y6" s="8" t="str">
        <x:v>Especes</x:v>
      </x:c>
      <x:c r="Z6" s="8" t="str">
        <x:v>VL</x:v>
      </x:c>
      <x:c r="AA6" s="2"/>
      <x:c r="AB6" s="2"/>
    </x:row>
    <x:row r="7" ht="20" customHeight="1">
      <x:c r="A7" s="2"/>
      <x:c r="B7" s="2" t="str">
        <x:v>REC-001</x:v>
      </x:c>
      <x:c r="C7" s="2" t="str">
        <x:v>TR-001</x:v>
      </x:c>
      <x:c r="D7" s="13" t="n">
        <x:v>46279</x:v>
      </x:c>
      <x:c r="E7" s="13" t="n">
        <x:v>46281</x:v>
      </x:c>
      <x:c r="F7" s="13" t="n">
        <x:v>46281</x:v>
      </x:c>
      <x:c r="G7" s="2" t="str">
        <x:v>FR0000120073</x:v>
      </x:c>
      <x:c r="H7" s="2" t="str">
        <x:v>ACHAT</x:v>
      </x:c>
      <x:c r="I7" s="2" t="n">
        <x:v>600</x:v>
      </x:c>
      <x:c r="J7" s="12" t="n">
        <x:v>164.58</x:v>
      </x:c>
      <x:c r="K7" s="12" t="n">
        <x:v>5</x:v>
      </x:c>
      <x:c r="L7" s="2" t="str">
        <x:v>EUR</x:v>
      </x:c>
      <x:c r="M7" s="2"/>
      <x:c r="N7" s="2"/>
      <x:c r="O7" s="2"/>
      <x:c r="P7" s="11"/>
      <x:c r="Q7" s="2"/>
      <x:c r="R7" s="2"/>
      <x:c r="S7" s="2"/>
      <x:c r="T7" s="2" t="str">
        <x:v>SET_ABSOLUTE_PATH_TO_Sources_projet/investigation</x:v>
      </x:c>
      <x:c r="U7" s="2" t="n">
        <x:v>25</x:v>
      </x:c>
      <x:c r="V7" s="2" t="n">
        <x:v>25</x:v>
      </x:c>
      <x:c r="W7" s="2" t="n">
        <x:v>50</x:v>
      </x:c>
      <x:c r="X7" s="2" t="n">
        <x:v>50</x:v>
      </x:c>
      <x:c r="Y7" s="2" t="n">
        <x:v>10</x:v>
      </x:c>
      <x:c r="Z7" s="2" t="n">
        <x:v>10</x:v>
      </x:c>
      <x:c r="AA7" s="2"/>
      <x:c r="AB7" s="2"/>
    </x:row>
    <x:row r="8" ht="20" customHeight="1">
      <x:c r="A8" s="2"/>
      <x:c r="B8" s="2" t="str">
        <x:v>REC-002</x:v>
      </x:c>
      <x:c r="C8" s="2" t="str">
        <x:v>TR-002</x:v>
      </x:c>
      <x:c r="D8" s="13" t="n">
        <x:v>46279</x:v>
      </x:c>
      <x:c r="E8" s="13" t="n">
        <x:v>46281</x:v>
      </x:c>
      <x:c r="F8" s="13" t="n">
        <x:v>46281</x:v>
      </x:c>
      <x:c r="G8" s="2" t="str">
        <x:v>FR0000121972</x:v>
      </x:c>
      <x:c r="H8" s="2" t="str">
        <x:v>ACHAT</x:v>
      </x:c>
      <x:c r="I8" s="2" t="n">
        <x:v>400</x:v>
      </x:c>
      <x:c r="J8" s="12" t="n">
        <x:v>210.39</x:v>
      </x:c>
      <x:c r="K8" s="12" t="n">
        <x:v>5</x:v>
      </x:c>
      <x:c r="L8" s="2" t="str">
        <x:v>EUR</x:v>
      </x:c>
      <x:c r="M8" s="2"/>
      <x:c r="N8" s="2"/>
      <x:c r="O8" s="2"/>
      <x:c r="P8" s="11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0" customHeight="1">
      <x:c r="A9" s="2"/>
      <x:c r="B9" s="2" t="str">
        <x:v>REC-003</x:v>
      </x:c>
      <x:c r="C9" s="2" t="str">
        <x:v>TR-003</x:v>
      </x:c>
      <x:c r="D9" s="13" t="n">
        <x:v>46279</x:v>
      </x:c>
      <x:c r="E9" s="13" t="n">
        <x:v>46281</x:v>
      </x:c>
      <x:c r="F9" s="13" t="n">
        <x:v>46281</x:v>
      </x:c>
      <x:c r="G9" s="2" t="str">
        <x:v>FR0000120644</x:v>
      </x:c>
      <x:c r="H9" s="2" t="str">
        <x:v>ACHAT</x:v>
      </x:c>
      <x:c r="I9" s="2" t="n">
        <x:v>1800</x:v>
      </x:c>
      <x:c r="J9" s="12" t="n">
        <x:v>60.03</x:v>
      </x:c>
      <x:c r="K9" s="12" t="n">
        <x:v>5</x:v>
      </x:c>
      <x:c r="L9" s="2" t="str">
        <x:v>EUR</x:v>
      </x:c>
      <x:c r="M9" s="2"/>
      <x:c r="N9" s="2"/>
      <x:c r="O9" s="2"/>
      <x:c r="P9" s="11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0" customHeight="1">
      <x:c r="A10" s="2"/>
      <x:c r="B10" s="2" t="str">
        <x:v>REC-004</x:v>
      </x:c>
      <x:c r="C10" s="2" t="str">
        <x:v>TR-004</x:v>
      </x:c>
      <x:c r="D10" s="13" t="n">
        <x:v>46279</x:v>
      </x:c>
      <x:c r="E10" s="13" t="n">
        <x:v>46281</x:v>
      </x:c>
      <x:c r="F10" s="13" t="n">
        <x:v>46281</x:v>
      </x:c>
      <x:c r="G10" s="2" t="str">
        <x:v>FR0000125486</x:v>
      </x:c>
      <x:c r="H10" s="2" t="str">
        <x:v>ACHAT</x:v>
      </x:c>
      <x:c r="I10" s="2" t="n">
        <x:v>900</x:v>
      </x:c>
      <x:c r="J10" s="12" t="n">
        <x:v>114.64</x:v>
      </x:c>
      <x:c r="K10" s="12" t="n">
        <x:v>5</x:v>
      </x:c>
      <x:c r="L10" s="2" t="str">
        <x:v>EUR</x:v>
      </x:c>
      <x:c r="M10" s="2"/>
      <x:c r="N10" s="2"/>
      <x:c r="O10" s="2"/>
      <x:c r="P10" s="11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0" customHeight="1">
      <x:c r="A11" s="2"/>
      <x:c r="B11" s="2" t="str">
        <x:v>REC-005</x:v>
      </x:c>
      <x:c r="C11" s="2" t="str">
        <x:v>TR-005</x:v>
      </x:c>
      <x:c r="D11" s="13" t="n">
        <x:v>46279</x:v>
      </x:c>
      <x:c r="E11" s="13" t="n">
        <x:v>46281</x:v>
      </x:c>
      <x:c r="F11" s="13" t="n">
        <x:v>46281</x:v>
      </x:c>
      <x:c r="G11" s="2" t="str">
        <x:v>FR0000120321</x:v>
      </x:c>
      <x:c r="H11" s="2" t="str">
        <x:v>ACHAT</x:v>
      </x:c>
      <x:c r="I11" s="2" t="n">
        <x:v>250</x:v>
      </x:c>
      <x:c r="J11" s="12" t="n">
        <x:v>385.47</x:v>
      </x:c>
      <x:c r="K11" s="12" t="n">
        <x:v>5</x:v>
      </x:c>
      <x:c r="L11" s="2" t="str">
        <x:v>EUR</x:v>
      </x:c>
      <x:c r="M11" s="2"/>
      <x:c r="N11" s="2"/>
      <x:c r="O11" s="2"/>
      <x:c r="P11" s="11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0" customHeight="1">
      <x:c r="A12" s="2"/>
      <x:c r="B12" s="2" t="str">
        <x:v>REC-006</x:v>
      </x:c>
      <x:c r="C12" s="2" t="str">
        <x:v>TR-006</x:v>
      </x:c>
      <x:c r="D12" s="13" t="n">
        <x:v>46280</x:v>
      </x:c>
      <x:c r="E12" s="13" t="n">
        <x:v>46282</x:v>
      </x:c>
      <x:c r="F12" s="13" t="n">
        <x:v>46282</x:v>
      </x:c>
      <x:c r="G12" s="2" t="str">
        <x:v>FR0000120073</x:v>
      </x:c>
      <x:c r="H12" s="2" t="str">
        <x:v>ACHAT</x:v>
      </x:c>
      <x:c r="I12" s="2" t="n">
        <x:v>100</x:v>
      </x:c>
      <x:c r="J12" s="12" t="n">
        <x:v>165.21</x:v>
      </x:c>
      <x:c r="K12" s="12" t="n">
        <x:v>5</x:v>
      </x:c>
      <x:c r="L12" s="2" t="str">
        <x:v>EUR</x:v>
      </x:c>
      <x:c r="M12" s="2"/>
      <x:c r="N12" s="2"/>
      <x:c r="O12" s="2"/>
      <x:c r="P12" s="11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0" customHeight="1">
      <x:c r="A13" s="2"/>
      <x:c r="B13" s="2" t="str">
        <x:v>REC-007</x:v>
      </x:c>
      <x:c r="C13" s="2" t="str">
        <x:v>TR-007</x:v>
      </x:c>
      <x:c r="D13" s="13" t="n">
        <x:v>46280</x:v>
      </x:c>
      <x:c r="E13" s="13" t="n">
        <x:v>46282</x:v>
      </x:c>
      <x:c r="F13" s="13" t="n">
        <x:v>46282</x:v>
      </x:c>
      <x:c r="G13" s="2" t="str">
        <x:v>FR0000120644</x:v>
      </x:c>
      <x:c r="H13" s="2" t="str">
        <x:v>VENTE</x:v>
      </x:c>
      <x:c r="I13" s="2" t="n">
        <x:v>200</x:v>
      </x:c>
      <x:c r="J13" s="12" t="n">
        <x:v>60.48</x:v>
      </x:c>
      <x:c r="K13" s="12" t="n">
        <x:v>5</x:v>
      </x:c>
      <x:c r="L13" s="2" t="str">
        <x:v>EUR</x:v>
      </x:c>
      <x:c r="M13" s="2"/>
      <x:c r="N13" s="2"/>
      <x:c r="O13" s="2"/>
      <x:c r="P13" s="11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0" customHeight="1">
      <x:c r="A14" s="2"/>
      <x:c r="B14" s="2" t="str">
        <x:v>REC-008</x:v>
      </x:c>
      <x:c r="C14" s="2" t="str">
        <x:v>TR-008</x:v>
      </x:c>
      <x:c r="D14" s="13" t="n">
        <x:v>46280</x:v>
      </x:c>
      <x:c r="E14" s="13" t="n">
        <x:v>46282</x:v>
      </x:c>
      <x:c r="F14" s="13" t="n">
        <x:v>46282</x:v>
      </x:c>
      <x:c r="G14" s="2" t="str">
        <x:v>FR0000120321</x:v>
      </x:c>
      <x:c r="H14" s="2" t="str">
        <x:v>ACHAT</x:v>
      </x:c>
      <x:c r="I14" s="2" t="n">
        <x:v>50</x:v>
      </x:c>
      <x:c r="J14" s="12" t="n">
        <x:v>384.38</x:v>
      </x:c>
      <x:c r="K14" s="12" t="n">
        <x:v>5</x:v>
      </x:c>
      <x:c r="L14" s="2" t="str">
        <x:v>EUR</x:v>
      </x:c>
      <x:c r="M14" s="2"/>
      <x:c r="N14" s="2"/>
      <x:c r="O14" s="2"/>
      <x:c r="P14" s="11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0" customHeight="1">
      <x:c r="A15" s="2"/>
      <x:c r="B15" s="2" t="str">
        <x:v>REC-009</x:v>
      </x:c>
      <x:c r="C15" s="2" t="str">
        <x:v>TR-009</x:v>
      </x:c>
      <x:c r="D15" s="13" t="n">
        <x:v>46281</x:v>
      </x:c>
      <x:c r="E15" s="13" t="n">
        <x:v>46283</x:v>
      </x:c>
      <x:c r="F15" s="13" t="n">
        <x:v>46283</x:v>
      </x:c>
      <x:c r="G15" s="2" t="str">
        <x:v>FR0000121972</x:v>
      </x:c>
      <x:c r="H15" s="2" t="str">
        <x:v>VENTE</x:v>
      </x:c>
      <x:c r="I15" s="2" t="n">
        <x:v>50</x:v>
      </x:c>
      <x:c r="J15" s="12" t="n">
        <x:v>209.3</x:v>
      </x:c>
      <x:c r="K15" s="12" t="n">
        <x:v>5</x:v>
      </x:c>
      <x:c r="L15" s="2" t="str">
        <x:v>EUR</x:v>
      </x:c>
      <x:c r="M15" s="2"/>
      <x:c r="N15" s="2"/>
      <x:c r="O15" s="2"/>
      <x:c r="P15" s="11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0" customHeight="1">
      <x:c r="A16" s="2"/>
      <x:c r="B16" s="2" t="str">
        <x:v>REC-010</x:v>
      </x:c>
      <x:c r="C16" s="2" t="str">
        <x:v>TR-010</x:v>
      </x:c>
      <x:c r="D16" s="13" t="n">
        <x:v>46281</x:v>
      </x:c>
      <x:c r="E16" s="13" t="n">
        <x:v>46283</x:v>
      </x:c>
      <x:c r="F16" s="13" t="n">
        <x:v>46283</x:v>
      </x:c>
      <x:c r="G16" s="2" t="str">
        <x:v>FR0000125486</x:v>
      </x:c>
      <x:c r="H16" s="2" t="str">
        <x:v>ACHAT</x:v>
      </x:c>
      <x:c r="I16" s="2" t="n">
        <x:v>100</x:v>
      </x:c>
      <x:c r="J16" s="12" t="n">
        <x:v>115.82</x:v>
      </x:c>
      <x:c r="K16" s="12" t="n">
        <x:v>5</x:v>
      </x:c>
      <x:c r="L16" s="2" t="str">
        <x:v>EUR</x:v>
      </x:c>
      <x:c r="M16" s="2"/>
      <x:c r="N16" s="2"/>
      <x:c r="O16" s="2"/>
      <x:c r="P16" s="11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0" customHeight="1">
      <x:c r="A17" s="2"/>
      <x:c r="B17" s="2" t="str">
        <x:v>REC-011</x:v>
      </x:c>
      <x:c r="C17" s="2" t="str">
        <x:v>TR-011</x:v>
      </x:c>
      <x:c r="D17" s="13" t="n">
        <x:v>46282</x:v>
      </x:c>
      <x:c r="E17" s="13" t="n">
        <x:v>46286</x:v>
      </x:c>
      <x:c r="F17" s="13" t="n">
        <x:v>46286</x:v>
      </x:c>
      <x:c r="G17" s="2" t="str">
        <x:v>FR0000120073</x:v>
      </x:c>
      <x:c r="H17" s="2" t="str">
        <x:v>VENTE</x:v>
      </x:c>
      <x:c r="I17" s="2" t="n">
        <x:v>80</x:v>
      </x:c>
      <x:c r="J17" s="12" t="n">
        <x:v>165.42</x:v>
      </x:c>
      <x:c r="K17" s="12" t="n">
        <x:v>5</x:v>
      </x:c>
      <x:c r="L17" s="2" t="str">
        <x:v>EUR</x:v>
      </x:c>
      <x:c r="M17" s="2"/>
      <x:c r="N17" s="2"/>
      <x:c r="O17" s="2"/>
      <x:c r="P17" s="11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0" customHeight="1">
      <x:c r="A18" s="2"/>
      <x:c r="B18" s="2" t="str">
        <x:v>REC-012</x:v>
      </x:c>
      <x:c r="C18" s="2" t="str">
        <x:v>TR-012</x:v>
      </x:c>
      <x:c r="D18" s="13" t="n">
        <x:v>46282</x:v>
      </x:c>
      <x:c r="E18" s="13" t="n">
        <x:v>46286</x:v>
      </x:c>
      <x:c r="F18" s="13" t="n">
        <x:v>46286</x:v>
      </x:c>
      <x:c r="G18" s="2" t="str">
        <x:v>FR0000120644</x:v>
      </x:c>
      <x:c r="H18" s="2" t="str">
        <x:v>ACHAT</x:v>
      </x:c>
      <x:c r="I18" s="2" t="n">
        <x:v>150</x:v>
      </x:c>
      <x:c r="J18" s="12" t="n">
        <x:v>60.37</x:v>
      </x:c>
      <x:c r="K18" s="12" t="n">
        <x:v>5</x:v>
      </x:c>
      <x:c r="L18" s="2" t="str">
        <x:v>EUR</x:v>
      </x:c>
      <x:c r="M18" s="2"/>
      <x:c r="N18" s="2"/>
      <x:c r="O18" s="2"/>
      <x:c r="P18" s="11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0" customHeight="1">
      <x:c r="A19" s="2"/>
      <x:c r="B19" s="2" t="str">
        <x:v>REC-013</x:v>
      </x:c>
      <x:c r="C19" s="2" t="str">
        <x:v>TR-013</x:v>
      </x:c>
      <x:c r="D19" s="13" t="n">
        <x:v>46283</x:v>
      </x:c>
      <x:c r="E19" s="13" t="n">
        <x:v>46287</x:v>
      </x:c>
      <x:c r="F19" s="13" t="n">
        <x:v>46287</x:v>
      </x:c>
      <x:c r="G19" s="2" t="str">
        <x:v>FR0000120321</x:v>
      </x:c>
      <x:c r="H19" s="2" t="str">
        <x:v>VENTE</x:v>
      </x:c>
      <x:c r="I19" s="2" t="n">
        <x:v>30</x:v>
      </x:c>
      <x:c r="J19" s="12" t="n">
        <x:v>383</x:v>
      </x:c>
      <x:c r="K19" s="12" t="n">
        <x:v>5</x:v>
      </x:c>
      <x:c r="L19" s="2" t="str">
        <x:v>EUR</x:v>
      </x:c>
      <x:c r="M19" s="2"/>
      <x:c r="N19" s="2"/>
      <x:c r="O19" s="2"/>
      <x:c r="P19" s="11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0" customHeight="1">
      <x:c r="A20" s="2"/>
      <x:c r="B20" s="2" t="str">
        <x:v>REC-014</x:v>
      </x:c>
      <x:c r="C20" s="2" t="str">
        <x:v>TR-014</x:v>
      </x:c>
      <x:c r="D20" s="13" t="n">
        <x:v>46283</x:v>
      </x:c>
      <x:c r="E20" s="13" t="n">
        <x:v>46287</x:v>
      </x:c>
      <x:c r="F20" s="13" t="n">
        <x:v>46287</x:v>
      </x:c>
      <x:c r="G20" s="2" t="str">
        <x:v>FR0000121972</x:v>
      </x:c>
      <x:c r="H20" s="2" t="str">
        <x:v>ACHAT</x:v>
      </x:c>
      <x:c r="I20" s="2" t="n">
        <x:v>60</x:v>
      </x:c>
      <x:c r="J20" s="12" t="n">
        <x:v>208.27</x:v>
      </x:c>
      <x:c r="K20" s="12" t="n">
        <x:v>5</x:v>
      </x:c>
      <x:c r="L20" s="2" t="str">
        <x:v>EUR</x:v>
      </x:c>
      <x:c r="M20" s="2"/>
      <x:c r="N20" s="2"/>
      <x:c r="O20" s="2"/>
      <x:c r="P20" s="11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0" customHeight="1">
      <x:c r="A21" s="2"/>
      <x:c r="B21" s="2" t="str">
        <x:v>REC-015</x:v>
      </x:c>
      <x:c r="C21" s="2" t="str">
        <x:v>TR-015</x:v>
      </x:c>
      <x:c r="D21" s="13" t="n">
        <x:v>46283</x:v>
      </x:c>
      <x:c r="E21" s="13" t="n">
        <x:v>46287</x:v>
      </x:c>
      <x:c r="F21" s="13" t="n">
        <x:v>46287</x:v>
      </x:c>
      <x:c r="G21" s="2" t="str">
        <x:v>FR0000125486</x:v>
      </x:c>
      <x:c r="H21" s="2" t="str">
        <x:v>VENTE</x:v>
      </x:c>
      <x:c r="I21" s="2" t="n">
        <x:v>100</x:v>
      </x:c>
      <x:c r="J21" s="12" t="n">
        <x:v>115.91</x:v>
      </x:c>
      <x:c r="K21" s="12" t="n">
        <x:v>5</x:v>
      </x:c>
      <x:c r="L21" s="2" t="str">
        <x:v>EUR</x:v>
      </x:c>
      <x:c r="M21" s="2"/>
      <x:c r="N21" s="2"/>
      <x:c r="O21" s="2"/>
      <x:c r="P21" s="11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0" customHeight="1">
      <x:c r="A22" s="2"/>
      <x:c r="B22" s="2" t="str">
        <x:v>REC-017</x:v>
      </x:c>
      <x:c r="C22" s="2" t="str">
        <x:v>TR-017</x:v>
      </x:c>
      <x:c r="D22" s="13" t="n">
        <x:v>46286</x:v>
      </x:c>
      <x:c r="E22" s="13" t="n">
        <x:v>46288</x:v>
      </x:c>
      <x:c r="F22" s="13" t="n">
        <x:v>46290</x:v>
      </x:c>
      <x:c r="G22" s="2" t="str">
        <x:v>FR0000121972</x:v>
      </x:c>
      <x:c r="H22" s="2" t="str">
        <x:v>ACHAT</x:v>
      </x:c>
      <x:c r="I22" s="2" t="n">
        <x:v>40</x:v>
      </x:c>
      <x:c r="J22" s="12" t="n">
        <x:v>208.34</x:v>
      </x:c>
      <x:c r="K22" s="12" t="n">
        <x:v>5</x:v>
      </x:c>
      <x:c r="L22" s="2" t="str">
        <x:v>EUR</x:v>
      </x:c>
      <x:c r="M22" s="2"/>
      <x:c r="N22" s="2"/>
      <x:c r="O22" s="2"/>
      <x:c r="P22" s="11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0" customHeight="1">
      <x:c r="A23" s="2"/>
      <x:c r="B23" s="2" t="str">
        <x:v>REC-018</x:v>
      </x:c>
      <x:c r="C23" s="2" t="str">
        <x:v>TR-018</x:v>
      </x:c>
      <x:c r="D23" s="13" t="n">
        <x:v>46286</x:v>
      </x:c>
      <x:c r="E23" s="13" t="n">
        <x:v>46288</x:v>
      </x:c>
      <x:c r="F23" s="13" t="n">
        <x:v>46288</x:v>
      </x:c>
      <x:c r="G23" s="2" t="str">
        <x:v>FR0000120644</x:v>
      </x:c>
      <x:c r="H23" s="2" t="str">
        <x:v>ACHAT</x:v>
      </x:c>
      <x:c r="I23" s="2" t="n">
        <x:v>100</x:v>
      </x:c>
      <x:c r="J23" s="12" t="n">
        <x:v>60.28</x:v>
      </x:c>
      <x:c r="K23" s="12" t="n">
        <x:v>5</x:v>
      </x:c>
      <x:c r="L23" s="2" t="str">
        <x:v>EUR</x:v>
      </x:c>
      <x:c r="M23" s="2"/>
      <x:c r="N23" s="2"/>
      <x:c r="O23" s="2"/>
      <x:c r="P23" s="11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0" customHeight="1">
      <x:c r="A24" s="2"/>
      <x:c r="B24" s="2" t="str">
        <x:v>REC-019</x:v>
      </x:c>
      <x:c r="C24" s="2" t="str">
        <x:v>TR-019</x:v>
      </x:c>
      <x:c r="D24" s="13" t="n">
        <x:v>46287</x:v>
      </x:c>
      <x:c r="E24" s="13" t="n">
        <x:v>46289</x:v>
      </x:c>
      <x:c r="F24" s="13" t="n">
        <x:v>46289</x:v>
      </x:c>
      <x:c r="G24" s="2" t="str">
        <x:v>FR0000125486</x:v>
      </x:c>
      <x:c r="H24" s="2" t="str">
        <x:v>VENTE</x:v>
      </x:c>
      <x:c r="I24" s="2" t="n">
        <x:v>150</x:v>
      </x:c>
      <x:c r="J24" s="12" t="n">
        <x:v>115.96</x:v>
      </x:c>
      <x:c r="K24" s="12" t="n">
        <x:v>5</x:v>
      </x:c>
      <x:c r="L24" s="2" t="str">
        <x:v>EUR</x:v>
      </x:c>
      <x:c r="M24" s="2"/>
      <x:c r="N24" s="2"/>
      <x:c r="O24" s="2"/>
      <x:c r="P24" s="11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0" customHeight="1">
      <x:c r="A25" s="2"/>
      <x:c r="B25" s="2" t="str">
        <x:v>REC-020</x:v>
      </x:c>
      <x:c r="C25" s="2" t="str">
        <x:v>TR-020</x:v>
      </x:c>
      <x:c r="D25" s="13" t="n">
        <x:v>46287</x:v>
      </x:c>
      <x:c r="E25" s="13" t="n">
        <x:v>46289</x:v>
      </x:c>
      <x:c r="F25" s="13" t="n">
        <x:v>46289</x:v>
      </x:c>
      <x:c r="G25" s="2" t="str">
        <x:v>FR0000120321</x:v>
      </x:c>
      <x:c r="H25" s="2" t="str">
        <x:v>ACHAT</x:v>
      </x:c>
      <x:c r="I25" s="2" t="n">
        <x:v>20</x:v>
      </x:c>
      <x:c r="J25" s="12" t="n">
        <x:v>382.7</x:v>
      </x:c>
      <x:c r="K25" s="12" t="n">
        <x:v>5</x:v>
      </x:c>
      <x:c r="L25" s="2" t="str">
        <x:v>EUR</x:v>
      </x:c>
      <x:c r="M25" s="2"/>
      <x:c r="N25" s="2"/>
      <x:c r="O25" s="2"/>
      <x:c r="P25" s="11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0" customHeight="1">
      <x:c r="A26" s="2"/>
      <x:c r="B26" s="2" t="str">
        <x:v>REC-021</x:v>
      </x:c>
      <x:c r="C26" s="2" t="str">
        <x:v>TR-021</x:v>
      </x:c>
      <x:c r="D26" s="13" t="n">
        <x:v>46288</x:v>
      </x:c>
      <x:c r="E26" s="13" t="n">
        <x:v>46290</x:v>
      </x:c>
      <x:c r="F26" s="13" t="n">
        <x:v>46290</x:v>
      </x:c>
      <x:c r="G26" s="2" t="str">
        <x:v>FR0000120073</x:v>
      </x:c>
      <x:c r="H26" s="2" t="str">
        <x:v>ACHAT</x:v>
      </x:c>
      <x:c r="I26" s="2" t="n">
        <x:v>30</x:v>
      </x:c>
      <x:c r="J26" s="12" t="n">
        <x:v>166.89</x:v>
      </x:c>
      <x:c r="K26" s="12" t="n">
        <x:v>5</x:v>
      </x:c>
      <x:c r="L26" s="2" t="str">
        <x:v>EUR</x:v>
      </x:c>
      <x:c r="M26" s="2"/>
      <x:c r="N26" s="2"/>
      <x:c r="O26" s="2"/>
      <x:c r="P26" s="11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0" customHeight="1">
      <x:c r="A27" s="2"/>
      <x:c r="B27" s="2" t="str">
        <x:v>REC-022</x:v>
      </x:c>
      <x:c r="C27" s="2" t="str">
        <x:v>TR-022</x:v>
      </x:c>
      <x:c r="D27" s="13" t="n">
        <x:v>46288</x:v>
      </x:c>
      <x:c r="E27" s="13" t="n">
        <x:v>46290</x:v>
      </x:c>
      <x:c r="F27" s="13" t="n">
        <x:v>46290</x:v>
      </x:c>
      <x:c r="G27" s="2" t="str">
        <x:v>FR0000120644</x:v>
      </x:c>
      <x:c r="H27" s="2" t="str">
        <x:v>VENTE</x:v>
      </x:c>
      <x:c r="I27" s="2" t="n">
        <x:v>75</x:v>
      </x:c>
      <x:c r="J27" s="12" t="n">
        <x:v>61.2</x:v>
      </x:c>
      <x:c r="K27" s="12" t="n">
        <x:v>5</x:v>
      </x:c>
      <x:c r="L27" s="2" t="str">
        <x:v>EUR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2" t="str">
        <x:v>REC-023</x:v>
      </x:c>
      <x:c r="C28" s="2" t="str">
        <x:v>TR-023</x:v>
      </x:c>
      <x:c r="D28" s="13" t="n">
        <x:v>46289</x:v>
      </x:c>
      <x:c r="E28" s="13" t="n">
        <x:v>46293</x:v>
      </x:c>
      <x:c r="F28" s="13" t="n">
        <x:v>46293</x:v>
      </x:c>
      <x:c r="G28" s="2" t="str">
        <x:v>FR0000121972</x:v>
      </x:c>
      <x:c r="H28" s="2" t="str">
        <x:v>VENTE</x:v>
      </x:c>
      <x:c r="I28" s="2" t="n">
        <x:v>25</x:v>
      </x:c>
      <x:c r="J28" s="12" t="n">
        <x:v>207.38</x:v>
      </x:c>
      <x:c r="K28" s="12" t="n">
        <x:v>5</x:v>
      </x:c>
      <x:c r="L28" s="2" t="str">
        <x:v>EUR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2" t="str">
        <x:v>REC-024</x:v>
      </x:c>
      <x:c r="C29" s="2" t="str">
        <x:v>TR-024</x:v>
      </x:c>
      <x:c r="D29" s="13" t="n">
        <x:v>46289</x:v>
      </x:c>
      <x:c r="E29" s="13" t="n">
        <x:v>46293</x:v>
      </x:c>
      <x:c r="F29" s="13" t="n">
        <x:v>46293</x:v>
      </x:c>
      <x:c r="G29" s="2" t="str">
        <x:v>FR0000125486</x:v>
      </x:c>
      <x:c r="H29" s="2" t="str">
        <x:v>ACHAT</x:v>
      </x:c>
      <x:c r="I29" s="2" t="n">
        <x:v>80</x:v>
      </x:c>
      <x:c r="J29" s="12" t="n">
        <x:v>117.1</x:v>
      </x:c>
      <x:c r="K29" s="12" t="n">
        <x:v>5</x:v>
      </x:c>
      <x:c r="L29" s="2" t="str">
        <x:v>EUR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0" customHeight="1">
      <x:c r="A30" s="2"/>
      <x:c r="B30" s="2" t="str">
        <x:v>REC-025</x:v>
      </x:c>
      <x:c r="C30" s="2" t="str">
        <x:v>TR-025</x:v>
      </x:c>
      <x:c r="D30" s="13" t="n">
        <x:v>46290</x:v>
      </x:c>
      <x:c r="E30" s="13" t="n">
        <x:v>46294</x:v>
      </x:c>
      <x:c r="F30" s="13" t="n">
        <x:v>46294</x:v>
      </x:c>
      <x:c r="G30" s="2" t="str">
        <x:v>FR0000120321</x:v>
      </x:c>
      <x:c r="H30" s="2" t="str">
        <x:v>VENTE</x:v>
      </x:c>
      <x:c r="I30" s="2" t="n">
        <x:v>15</x:v>
      </x:c>
      <x:c r="J30" s="12" t="n">
        <x:v>381.32</x:v>
      </x:c>
      <x:c r="K30" s="12" t="n">
        <x:v>5</x:v>
      </x:c>
      <x:c r="L30" s="2" t="str">
        <x:v>EUR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2" t="str">
        <x:v>REC-018-DUP</x:v>
      </x:c>
      <x:c r="C31" s="2" t="str">
        <x:v>TR-018</x:v>
      </x:c>
      <x:c r="D31" s="13" t="n">
        <x:v>46286</x:v>
      </x:c>
      <x:c r="E31" s="13" t="n">
        <x:v>46288</x:v>
      </x:c>
      <x:c r="F31" s="13" t="n">
        <x:v>46288</x:v>
      </x:c>
      <x:c r="G31" s="2" t="str">
        <x:v>FR0000120644</x:v>
      </x:c>
      <x:c r="H31" s="2" t="str">
        <x:v>ACHAT</x:v>
      </x:c>
      <x:c r="I31" s="2" t="n">
        <x:v>100</x:v>
      </x:c>
      <x:c r="J31" s="12" t="n">
        <x:v>60.28</x:v>
      </x:c>
      <x:c r="K31" s="12" t="n">
        <x:v>5</x:v>
      </x:c>
      <x:c r="L31" s="2" t="str">
        <x:v>EUR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0" customHeight="1">
      <x:c r="A32" s="2"/>
      <x:c r="B32" s="2"/>
      <x:c r="C32" s="2"/>
      <x:c r="D32" s="13"/>
      <x:c r="E32" s="13"/>
      <x:c r="F32" s="13"/>
      <x:c r="G32" s="2"/>
      <x:c r="H32" s="2"/>
      <x:c r="I32" s="2"/>
      <x:c r="J32" s="12"/>
      <x:c r="K32" s="1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2"/>
      <x:c r="C33" s="2"/>
      <x:c r="D33" s="13"/>
      <x:c r="E33" s="13"/>
      <x:c r="F33" s="13"/>
      <x:c r="G33" s="2"/>
      <x:c r="H33" s="2"/>
      <x:c r="I33" s="2"/>
      <x:c r="J33" s="12"/>
      <x:c r="K33" s="1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2"/>
      <x:c r="C34" s="2"/>
      <x:c r="D34" s="13"/>
      <x:c r="E34" s="13"/>
      <x:c r="F34" s="13"/>
      <x:c r="G34" s="2"/>
      <x:c r="H34" s="2"/>
      <x:c r="I34" s="2"/>
      <x:c r="J34" s="12"/>
      <x:c r="K34" s="1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2"/>
      <x:c r="C35" s="2"/>
      <x:c r="D35" s="13"/>
      <x:c r="E35" s="13"/>
      <x:c r="F35" s="13"/>
      <x:c r="G35" s="2"/>
      <x:c r="H35" s="2"/>
      <x:c r="I35" s="2"/>
      <x:c r="J35" s="12"/>
      <x:c r="K35" s="1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2"/>
      <x:c r="C36" s="2"/>
      <x:c r="D36" s="13"/>
      <x:c r="E36" s="13"/>
      <x:c r="F36" s="13"/>
      <x:c r="G36" s="2"/>
      <x:c r="H36" s="2"/>
      <x:c r="I36" s="2"/>
      <x:c r="J36" s="12"/>
      <x:c r="K36" s="1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2"/>
      <x:c r="C37" s="2"/>
      <x:c r="D37" s="13"/>
      <x:c r="E37" s="13"/>
      <x:c r="F37" s="13"/>
      <x:c r="G37" s="2"/>
      <x:c r="H37" s="2"/>
      <x:c r="I37" s="2"/>
      <x:c r="J37" s="12"/>
      <x:c r="K37" s="1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2"/>
      <x:c r="C38" s="2"/>
      <x:c r="D38" s="13"/>
      <x:c r="E38" s="13"/>
      <x:c r="F38" s="13"/>
      <x:c r="G38" s="2"/>
      <x:c r="H38" s="2"/>
      <x:c r="I38" s="2"/>
      <x:c r="J38" s="12"/>
      <x:c r="K38" s="1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2"/>
      <x:c r="C39" s="2"/>
      <x:c r="D39" s="13"/>
      <x:c r="E39" s="13"/>
      <x:c r="F39" s="13"/>
      <x:c r="G39" s="2"/>
      <x:c r="H39" s="2"/>
      <x:c r="I39" s="2"/>
      <x:c r="J39" s="12"/>
      <x:c r="K39" s="1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2"/>
      <x:c r="C40" s="2"/>
      <x:c r="D40" s="13"/>
      <x:c r="E40" s="13"/>
      <x:c r="F40" s="13"/>
      <x:c r="G40" s="2"/>
      <x:c r="H40" s="2"/>
      <x:c r="I40" s="2"/>
      <x:c r="J40" s="12"/>
      <x:c r="K40" s="1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2"/>
      <x:c r="C41" s="2"/>
      <x:c r="D41" s="13"/>
      <x:c r="E41" s="13"/>
      <x:c r="F41" s="13"/>
      <x:c r="G41" s="2"/>
      <x:c r="H41" s="2"/>
      <x:c r="I41" s="2"/>
      <x:c r="J41" s="12"/>
      <x:c r="K41" s="1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2"/>
      <x:c r="C42" s="2"/>
      <x:c r="D42" s="13"/>
      <x:c r="E42" s="13"/>
      <x:c r="F42" s="13"/>
      <x:c r="G42" s="2"/>
      <x:c r="H42" s="2"/>
      <x:c r="I42" s="2"/>
      <x:c r="J42" s="12"/>
      <x:c r="K42" s="1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2"/>
      <x:c r="C43" s="2"/>
      <x:c r="D43" s="13"/>
      <x:c r="E43" s="13"/>
      <x:c r="F43" s="13"/>
      <x:c r="G43" s="2"/>
      <x:c r="H43" s="2"/>
      <x:c r="I43" s="2"/>
      <x:c r="J43" s="12"/>
      <x:c r="K43" s="1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2"/>
      <x:c r="C44" s="2"/>
      <x:c r="D44" s="13"/>
      <x:c r="E44" s="13"/>
      <x:c r="F44" s="13"/>
      <x:c r="G44" s="2"/>
      <x:c r="H44" s="2"/>
      <x:c r="I44" s="2"/>
      <x:c r="J44" s="12"/>
      <x:c r="K44" s="1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2"/>
      <x:c r="C45" s="2"/>
      <x:c r="D45" s="13"/>
      <x:c r="E45" s="13"/>
      <x:c r="F45" s="13"/>
      <x:c r="G45" s="2"/>
      <x:c r="H45" s="2"/>
      <x:c r="I45" s="2"/>
      <x:c r="J45" s="12"/>
      <x:c r="K45" s="1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2"/>
      <x:c r="C46" s="2"/>
      <x:c r="D46" s="13"/>
      <x:c r="E46" s="13"/>
      <x:c r="F46" s="13"/>
      <x:c r="G46" s="2"/>
      <x:c r="H46" s="2"/>
      <x:c r="I46" s="2"/>
      <x:c r="J46" s="12"/>
      <x:c r="K46" s="1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2"/>
      <x:c r="C47" s="2"/>
      <x:c r="D47" s="13"/>
      <x:c r="E47" s="13"/>
      <x:c r="F47" s="13"/>
      <x:c r="G47" s="2"/>
      <x:c r="H47" s="2"/>
      <x:c r="I47" s="2"/>
      <x:c r="J47" s="12"/>
      <x:c r="K47" s="1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2"/>
      <x:c r="C48" s="2"/>
      <x:c r="D48" s="13"/>
      <x:c r="E48" s="13"/>
      <x:c r="F48" s="13"/>
      <x:c r="G48" s="2"/>
      <x:c r="H48" s="2"/>
      <x:c r="I48" s="2"/>
      <x:c r="J48" s="12"/>
      <x:c r="K48" s="1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2"/>
      <x:c r="C49" s="2"/>
      <x:c r="D49" s="13"/>
      <x:c r="E49" s="13"/>
      <x:c r="F49" s="13"/>
      <x:c r="G49" s="2"/>
      <x:c r="H49" s="2"/>
      <x:c r="I49" s="2"/>
      <x:c r="J49" s="12"/>
      <x:c r="K49" s="1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2"/>
      <x:c r="C50" s="2"/>
      <x:c r="D50" s="13"/>
      <x:c r="E50" s="13"/>
      <x:c r="F50" s="13"/>
      <x:c r="G50" s="2"/>
      <x:c r="H50" s="2"/>
      <x:c r="I50" s="2"/>
      <x:c r="J50" s="12"/>
      <x:c r="K50" s="1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2"/>
      <x:c r="C51" s="2"/>
      <x:c r="D51" s="13"/>
      <x:c r="E51" s="13"/>
      <x:c r="F51" s="13"/>
      <x:c r="G51" s="2"/>
      <x:c r="H51" s="2"/>
      <x:c r="I51" s="2"/>
      <x:c r="J51" s="12"/>
      <x:c r="K51" s="1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2"/>
      <x:c r="C52" s="2"/>
      <x:c r="D52" s="13"/>
      <x:c r="E52" s="13"/>
      <x:c r="F52" s="13"/>
      <x:c r="G52" s="2"/>
      <x:c r="H52" s="2"/>
      <x:c r="I52" s="2"/>
      <x:c r="J52" s="12"/>
      <x:c r="K52" s="1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2"/>
      <x:c r="C53" s="2"/>
      <x:c r="D53" s="13"/>
      <x:c r="E53" s="13"/>
      <x:c r="F53" s="13"/>
      <x:c r="G53" s="2"/>
      <x:c r="H53" s="2"/>
      <x:c r="I53" s="2"/>
      <x:c r="J53" s="12"/>
      <x:c r="K53" s="1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2"/>
      <x:c r="C54" s="2"/>
      <x:c r="D54" s="13"/>
      <x:c r="E54" s="13"/>
      <x:c r="F54" s="13"/>
      <x:c r="G54" s="2"/>
      <x:c r="H54" s="2"/>
      <x:c r="I54" s="2"/>
      <x:c r="J54" s="12"/>
      <x:c r="K54" s="1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2"/>
      <x:c r="C55" s="2"/>
      <x:c r="D55" s="13"/>
      <x:c r="E55" s="13"/>
      <x:c r="F55" s="13"/>
      <x:c r="G55" s="2"/>
      <x:c r="H55" s="2"/>
      <x:c r="I55" s="2"/>
      <x:c r="J55" s="12"/>
      <x:c r="K55" s="1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2"/>
      <x:c r="C56" s="2"/>
      <x:c r="D56" s="13"/>
      <x:c r="E56" s="13"/>
      <x:c r="F56" s="13"/>
      <x:c r="G56" s="2"/>
      <x:c r="H56" s="2"/>
      <x:c r="I56" s="2"/>
      <x:c r="J56" s="12"/>
      <x:c r="K56" s="1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2"/>
      <x:c r="C57" s="2"/>
      <x:c r="D57" s="13"/>
      <x:c r="E57" s="13"/>
      <x:c r="F57" s="13"/>
      <x:c r="G57" s="2"/>
      <x:c r="H57" s="2"/>
      <x:c r="I57" s="2"/>
      <x:c r="J57" s="12"/>
      <x:c r="K57" s="1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2"/>
      <x:c r="C58" s="2"/>
      <x:c r="D58" s="13"/>
      <x:c r="E58" s="13"/>
      <x:c r="F58" s="13"/>
      <x:c r="G58" s="2"/>
      <x:c r="H58" s="2"/>
      <x:c r="I58" s="2"/>
      <x:c r="J58" s="12"/>
      <x:c r="K58" s="1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2"/>
      <x:c r="C59" s="2"/>
      <x:c r="D59" s="13"/>
      <x:c r="E59" s="13"/>
      <x:c r="F59" s="13"/>
      <x:c r="G59" s="2"/>
      <x:c r="H59" s="2"/>
      <x:c r="I59" s="2"/>
      <x:c r="J59" s="12"/>
      <x:c r="K59" s="1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2"/>
      <x:c r="C60" s="2"/>
      <x:c r="D60" s="13"/>
      <x:c r="E60" s="13"/>
      <x:c r="F60" s="13"/>
      <x:c r="G60" s="2"/>
      <x:c r="H60" s="2"/>
      <x:c r="I60" s="2"/>
      <x:c r="J60" s="12"/>
      <x:c r="K60" s="1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2"/>
      <x:c r="C61" s="2"/>
      <x:c r="D61" s="13"/>
      <x:c r="E61" s="13"/>
      <x:c r="F61" s="13"/>
      <x:c r="G61" s="2"/>
      <x:c r="H61" s="2"/>
      <x:c r="I61" s="2"/>
      <x:c r="J61" s="12"/>
      <x:c r="K61" s="1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2"/>
      <x:c r="C62" s="2"/>
      <x:c r="D62" s="13"/>
      <x:c r="E62" s="13"/>
      <x:c r="F62" s="13"/>
      <x:c r="G62" s="2"/>
      <x:c r="H62" s="2"/>
      <x:c r="I62" s="2"/>
      <x:c r="J62" s="12"/>
      <x:c r="K62" s="1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2"/>
      <x:c r="C63" s="2"/>
      <x:c r="D63" s="13"/>
      <x:c r="E63" s="13"/>
      <x:c r="F63" s="13"/>
      <x:c r="G63" s="2"/>
      <x:c r="H63" s="2"/>
      <x:c r="I63" s="2"/>
      <x:c r="J63" s="12"/>
      <x:c r="K63" s="1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2"/>
      <x:c r="C64" s="2"/>
      <x:c r="D64" s="13"/>
      <x:c r="E64" s="13"/>
      <x:c r="F64" s="13"/>
      <x:c r="G64" s="2"/>
      <x:c r="H64" s="2"/>
      <x:c r="I64" s="2"/>
      <x:c r="J64" s="12"/>
      <x:c r="K64" s="1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2"/>
      <x:c r="C65" s="2"/>
      <x:c r="D65" s="13"/>
      <x:c r="E65" s="13"/>
      <x:c r="F65" s="13"/>
      <x:c r="G65" s="2"/>
      <x:c r="H65" s="2"/>
      <x:c r="I65" s="2"/>
      <x:c r="J65" s="12"/>
      <x:c r="K65" s="1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2"/>
      <x:c r="C66" s="2"/>
      <x:c r="D66" s="13"/>
      <x:c r="E66" s="13"/>
      <x:c r="F66" s="13"/>
      <x:c r="G66" s="2"/>
      <x:c r="H66" s="2"/>
      <x:c r="I66" s="2"/>
      <x:c r="J66" s="12"/>
      <x:c r="K66" s="1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pageMargins left="0.7" right="0.7" top="0.75" bottom="0.75" header="0.3" footer="0.3"/>
  <x:tableParts count="3">
    <x:tablePart xmlns:r="http://schemas.openxmlformats.org/officeDocument/2006/relationships" r:id="R701681876ef04cf9"/>
    <x:tablePart xmlns:r="http://schemas.openxmlformats.org/officeDocument/2006/relationships" r:id="R241f383e9e1a40c9"/>
    <x:tablePart xmlns:r="http://schemas.openxmlformats.org/officeDocument/2006/relationships" r:id="Rbc79d0274b2448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Dépositaire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10" t="str">
        <x:v>Données simulées importées. Conserver les enregistrements d’origine.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RecordID</x:v>
      </x:c>
      <x:c r="C6" s="8" t="str">
        <x:v>TradeID</x:v>
      </x:c>
      <x:c r="D6" s="8" t="str">
        <x:v>DateNegociation</x:v>
      </x:c>
      <x:c r="E6" s="8" t="str">
        <x:v>DatePrevue</x:v>
      </x:c>
      <x:c r="F6" s="8" t="str">
        <x:v>DateEffective</x:v>
      </x:c>
      <x:c r="G6" s="8" t="str">
        <x:v>ISIN</x:v>
      </x:c>
      <x:c r="H6" s="8" t="str">
        <x:v>Sens</x:v>
      </x:c>
      <x:c r="I6" s="8" t="str">
        <x:v>Quantite</x:v>
      </x:c>
      <x:c r="J6" s="8" t="str">
        <x:v>PrixExecutionSimule</x:v>
      </x:c>
      <x:c r="K6" s="8" t="str">
        <x:v>CourtageEUR</x:v>
      </x:c>
      <x:c r="L6" s="8" t="str">
        <x:v>Devise</x:v>
      </x:c>
      <x:c r="M6" s="2"/>
      <x:c r="N6" s="2"/>
      <x:c r="O6" s="8" t="str">
        <x:v>Date</x:v>
      </x:c>
      <x:c r="P6" s="8" t="str">
        <x:v>ISIN</x:v>
      </x:c>
      <x:c r="Q6" s="8" t="str">
        <x:v>QuantiteReglee</x:v>
      </x:c>
      <x:c r="R6" s="2"/>
      <x:c r="S6" s="2"/>
      <x:c r="T6" s="8" t="str">
        <x:v>Date</x:v>
      </x:c>
      <x:c r="U6" s="8" t="str">
        <x:v>SoldeEUR</x:v>
      </x:c>
      <x:c r="V6" s="2"/>
      <x:c r="W6" s="2"/>
      <x:c r="X6" s="8" t="str">
        <x:v>Date</x:v>
      </x:c>
      <x:c r="Y6" s="8" t="str">
        <x:v>ActifNetEUR</x:v>
      </x:c>
      <x:c r="Z6" s="8" t="str">
        <x:v>NombreParts</x:v>
      </x:c>
      <x:c r="AA6" s="8" t="str">
        <x:v>VLReferenceEUR</x:v>
      </x:c>
      <x:c r="AB6" s="2"/>
    </x:row>
    <x:row r="7" ht="20" customHeight="1">
      <x:c r="A7" s="2"/>
      <x:c r="B7" s="2" t="str">
        <x:v>REC-001</x:v>
      </x:c>
      <x:c r="C7" s="2" t="str">
        <x:v>TR-001</x:v>
      </x:c>
      <x:c r="D7" s="13" t="n">
        <x:v>46279</x:v>
      </x:c>
      <x:c r="E7" s="13" t="n">
        <x:v>46281</x:v>
      </x:c>
      <x:c r="F7" s="13" t="n">
        <x:v>46281</x:v>
      </x:c>
      <x:c r="G7" s="2" t="str">
        <x:v>FR0000120073</x:v>
      </x:c>
      <x:c r="H7" s="2" t="str">
        <x:v>ACHAT</x:v>
      </x:c>
      <x:c r="I7" s="2" t="n">
        <x:v>600</x:v>
      </x:c>
      <x:c r="J7" s="12" t="n">
        <x:v>164.58</x:v>
      </x:c>
      <x:c r="K7" s="12" t="n">
        <x:v>5</x:v>
      </x:c>
      <x:c r="L7" s="2" t="str">
        <x:v>EUR</x:v>
      </x:c>
      <x:c r="M7" s="2"/>
      <x:c r="N7" s="2"/>
      <x:c r="O7" s="13" t="n">
        <x:v>46279</x:v>
      </x:c>
      <x:c r="P7" s="2" t="str">
        <x:v>FR0000120073</x:v>
      </x:c>
      <x:c r="Q7" s="2" t="n">
        <x:v>0</x:v>
      </x:c>
      <x:c r="R7" s="2"/>
      <x:c r="S7" s="2"/>
      <x:c r="T7" s="11" t="n">
        <x:v>46279</x:v>
      </x:c>
      <x:c r="U7" s="12" t="n">
        <x:v>1000000</x:v>
      </x:c>
      <x:c r="V7" s="2"/>
      <x:c r="W7" s="2"/>
      <x:c r="X7" s="11" t="n">
        <x:v>46279</x:v>
      </x:c>
      <x:c r="Y7" s="12" t="n">
        <x:v>999916</x:v>
      </x:c>
      <x:c r="Z7" s="2" t="n">
        <x:v>10000</x:v>
      </x:c>
      <x:c r="AA7" s="14" t="n">
        <x:v>99.9916</x:v>
      </x:c>
      <x:c r="AB7" s="2"/>
    </x:row>
    <x:row r="8" ht="20" customHeight="1">
      <x:c r="A8" s="2"/>
      <x:c r="B8" s="2" t="str">
        <x:v>REC-002</x:v>
      </x:c>
      <x:c r="C8" s="2" t="str">
        <x:v>TR-002</x:v>
      </x:c>
      <x:c r="D8" s="13" t="n">
        <x:v>46279</x:v>
      </x:c>
      <x:c r="E8" s="13" t="n">
        <x:v>46281</x:v>
      </x:c>
      <x:c r="F8" s="13" t="n">
        <x:v>46281</x:v>
      </x:c>
      <x:c r="G8" s="2" t="str">
        <x:v>FR0000121972</x:v>
      </x:c>
      <x:c r="H8" s="2" t="str">
        <x:v>ACHAT</x:v>
      </x:c>
      <x:c r="I8" s="2" t="n">
        <x:v>400</x:v>
      </x:c>
      <x:c r="J8" s="12" t="n">
        <x:v>210.39</x:v>
      </x:c>
      <x:c r="K8" s="12" t="n">
        <x:v>5</x:v>
      </x:c>
      <x:c r="L8" s="2" t="str">
        <x:v>EUR</x:v>
      </x:c>
      <x:c r="M8" s="2"/>
      <x:c r="N8" s="2"/>
      <x:c r="O8" s="13" t="n">
        <x:v>46279</x:v>
      </x:c>
      <x:c r="P8" s="2" t="str">
        <x:v>FR0000121972</x:v>
      </x:c>
      <x:c r="Q8" s="2" t="n">
        <x:v>0</x:v>
      </x:c>
      <x:c r="R8" s="2"/>
      <x:c r="S8" s="2"/>
      <x:c r="T8" s="11" t="n">
        <x:v>46280</x:v>
      </x:c>
      <x:c r="U8" s="12" t="n">
        <x:v>1000000</x:v>
      </x:c>
      <x:c r="V8" s="2"/>
      <x:c r="W8" s="2"/>
      <x:c r="X8" s="11" t="n">
        <x:v>46280</x:v>
      </x:c>
      <x:c r="Y8" s="12" t="n">
        <x:v>1000921.5</x:v>
      </x:c>
      <x:c r="Z8" s="2" t="n">
        <x:v>10000</x:v>
      </x:c>
      <x:c r="AA8" s="14" t="n">
        <x:v>100.09215</x:v>
      </x:c>
      <x:c r="AB8" s="2"/>
    </x:row>
    <x:row r="9" ht="20" customHeight="1">
      <x:c r="A9" s="2"/>
      <x:c r="B9" s="2" t="str">
        <x:v>REC-003</x:v>
      </x:c>
      <x:c r="C9" s="2" t="str">
        <x:v>TR-003</x:v>
      </x:c>
      <x:c r="D9" s="13" t="n">
        <x:v>46279</x:v>
      </x:c>
      <x:c r="E9" s="13" t="n">
        <x:v>46281</x:v>
      </x:c>
      <x:c r="F9" s="13" t="n">
        <x:v>46281</x:v>
      </x:c>
      <x:c r="G9" s="2" t="str">
        <x:v>FR0000120644</x:v>
      </x:c>
      <x:c r="H9" s="2" t="str">
        <x:v>ACHAT</x:v>
      </x:c>
      <x:c r="I9" s="2" t="n">
        <x:v>1800</x:v>
      </x:c>
      <x:c r="J9" s="12" t="n">
        <x:v>60.03</x:v>
      </x:c>
      <x:c r="K9" s="12" t="n">
        <x:v>5</x:v>
      </x:c>
      <x:c r="L9" s="2" t="str">
        <x:v>EUR</x:v>
      </x:c>
      <x:c r="M9" s="2"/>
      <x:c r="N9" s="2"/>
      <x:c r="O9" s="13" t="n">
        <x:v>46279</x:v>
      </x:c>
      <x:c r="P9" s="2" t="str">
        <x:v>FR0000120644</x:v>
      </x:c>
      <x:c r="Q9" s="2" t="n">
        <x:v>0</x:v>
      </x:c>
      <x:c r="R9" s="2"/>
      <x:c r="S9" s="2"/>
      <x:c r="T9" s="11" t="n">
        <x:v>46281</x:v>
      </x:c>
      <x:c r="U9" s="12" t="n">
        <x:v>509473.5</x:v>
      </x:c>
      <x:c r="V9" s="2"/>
      <x:c r="W9" s="2"/>
      <x:c r="X9" s="11" t="n">
        <x:v>46281</x:v>
      </x:c>
      <x:c r="Y9" s="12" t="n">
        <x:v>1000894.5</x:v>
      </x:c>
      <x:c r="Z9" s="2" t="n">
        <x:v>10000</x:v>
      </x:c>
      <x:c r="AA9" s="14" t="n">
        <x:v>100.08945</x:v>
      </x:c>
      <x:c r="AB9" s="2"/>
    </x:row>
    <x:row r="10" ht="20" customHeight="1">
      <x:c r="A10" s="2"/>
      <x:c r="B10" s="2" t="str">
        <x:v>REC-004</x:v>
      </x:c>
      <x:c r="C10" s="2" t="str">
        <x:v>TR-004</x:v>
      </x:c>
      <x:c r="D10" s="13" t="n">
        <x:v>46279</x:v>
      </x:c>
      <x:c r="E10" s="13" t="n">
        <x:v>46281</x:v>
      </x:c>
      <x:c r="F10" s="13" t="n">
        <x:v>46281</x:v>
      </x:c>
      <x:c r="G10" s="2" t="str">
        <x:v>FR0000125486</x:v>
      </x:c>
      <x:c r="H10" s="2" t="str">
        <x:v>ACHAT</x:v>
      </x:c>
      <x:c r="I10" s="2" t="n">
        <x:v>900</x:v>
      </x:c>
      <x:c r="J10" s="12" t="n">
        <x:v>114.64</x:v>
      </x:c>
      <x:c r="K10" s="12" t="n">
        <x:v>5</x:v>
      </x:c>
      <x:c r="L10" s="2" t="str">
        <x:v>EUR</x:v>
      </x:c>
      <x:c r="M10" s="2"/>
      <x:c r="N10" s="2"/>
      <x:c r="O10" s="13" t="n">
        <x:v>46279</x:v>
      </x:c>
      <x:c r="P10" s="2" t="str">
        <x:v>FR0000125486</x:v>
      </x:c>
      <x:c r="Q10" s="2" t="n">
        <x:v>0</x:v>
      </x:c>
      <x:c r="R10" s="2"/>
      <x:c r="S10" s="2"/>
      <x:c r="T10" s="11" t="n">
        <x:v>46282</x:v>
      </x:c>
      <x:c r="U10" s="12" t="n">
        <x:v>485814.5</x:v>
      </x:c>
      <x:c r="V10" s="2"/>
      <x:c r="W10" s="2"/>
      <x:c r="X10" s="11" t="n">
        <x:v>46282</x:v>
      </x:c>
      <x:c r="Y10" s="12" t="n">
        <x:v>1000815.9</x:v>
      </x:c>
      <x:c r="Z10" s="2" t="n">
        <x:v>10000</x:v>
      </x:c>
      <x:c r="AA10" s="14" t="n">
        <x:v>100.08159</x:v>
      </x:c>
      <x:c r="AB10" s="2"/>
    </x:row>
    <x:row r="11" ht="20" customHeight="1">
      <x:c r="A11" s="2"/>
      <x:c r="B11" s="2" t="str">
        <x:v>REC-005</x:v>
      </x:c>
      <x:c r="C11" s="2" t="str">
        <x:v>TR-005</x:v>
      </x:c>
      <x:c r="D11" s="13" t="n">
        <x:v>46279</x:v>
      </x:c>
      <x:c r="E11" s="13" t="n">
        <x:v>46281</x:v>
      </x:c>
      <x:c r="F11" s="13" t="n">
        <x:v>46281</x:v>
      </x:c>
      <x:c r="G11" s="2" t="str">
        <x:v>FR0000120321</x:v>
      </x:c>
      <x:c r="H11" s="2" t="str">
        <x:v>ACHAT</x:v>
      </x:c>
      <x:c r="I11" s="2" t="n">
        <x:v>250</x:v>
      </x:c>
      <x:c r="J11" s="12" t="n">
        <x:v>385.47</x:v>
      </x:c>
      <x:c r="K11" s="12" t="n">
        <x:v>5</x:v>
      </x:c>
      <x:c r="L11" s="2" t="str">
        <x:v>EUR</x:v>
      </x:c>
      <x:c r="M11" s="2"/>
      <x:c r="N11" s="2"/>
      <x:c r="O11" s="13" t="n">
        <x:v>46279</x:v>
      </x:c>
      <x:c r="P11" s="2" t="str">
        <x:v>FR0000120321</x:v>
      </x:c>
      <x:c r="Q11" s="2" t="n">
        <x:v>0</x:v>
      </x:c>
      <x:c r="R11" s="2"/>
      <x:c r="S11" s="2"/>
      <x:c r="T11" s="11" t="n">
        <x:v>46283</x:v>
      </x:c>
      <x:c r="U11" s="12" t="n">
        <x:v>484687.5</x:v>
      </x:c>
      <x:c r="V11" s="2"/>
      <x:c r="W11" s="2"/>
      <x:c r="X11" s="11" t="n">
        <x:v>46283</x:v>
      </x:c>
      <x:c r="Y11" s="12" t="n">
        <x:v>1001871.9</x:v>
      </x:c>
      <x:c r="Z11" s="2" t="n">
        <x:v>10000</x:v>
      </x:c>
      <x:c r="AA11" s="14" t="n">
        <x:v>100.18719</x:v>
      </x:c>
      <x:c r="AB11" s="2"/>
    </x:row>
    <x:row r="12" ht="20" customHeight="1">
      <x:c r="A12" s="2"/>
      <x:c r="B12" s="2" t="str">
        <x:v>REC-006</x:v>
      </x:c>
      <x:c r="C12" s="2" t="str">
        <x:v>TR-006</x:v>
      </x:c>
      <x:c r="D12" s="13" t="n">
        <x:v>46280</x:v>
      </x:c>
      <x:c r="E12" s="13" t="n">
        <x:v>46282</x:v>
      </x:c>
      <x:c r="F12" s="13" t="n">
        <x:v>46282</x:v>
      </x:c>
      <x:c r="G12" s="2" t="str">
        <x:v>FR0000120073</x:v>
      </x:c>
      <x:c r="H12" s="2" t="str">
        <x:v>ACHAT</x:v>
      </x:c>
      <x:c r="I12" s="2" t="n">
        <x:v>100</x:v>
      </x:c>
      <x:c r="J12" s="12" t="n">
        <x:v>165.21</x:v>
      </x:c>
      <x:c r="K12" s="12" t="n">
        <x:v>5</x:v>
      </x:c>
      <x:c r="L12" s="2" t="str">
        <x:v>EUR</x:v>
      </x:c>
      <x:c r="M12" s="2"/>
      <x:c r="N12" s="2"/>
      <x:c r="O12" s="13" t="n">
        <x:v>46280</x:v>
      </x:c>
      <x:c r="P12" s="2" t="str">
        <x:v>FR0000120073</x:v>
      </x:c>
      <x:c r="Q12" s="2" t="n">
        <x:v>0</x:v>
      </x:c>
      <x:c r="R12" s="2"/>
      <x:c r="S12" s="2"/>
      <x:c r="T12" s="11" t="n">
        <x:v>46286</x:v>
      </x:c>
      <x:c r="U12" s="12" t="n">
        <x:v>488855.6</x:v>
      </x:c>
      <x:c r="V12" s="2"/>
      <x:c r="W12" s="2"/>
      <x:c r="X12" s="11" t="n">
        <x:v>46286</x:v>
      </x:c>
      <x:c r="Y12" s="12" t="n">
        <x:v>1001690.2</x:v>
      </x:c>
      <x:c r="Z12" s="2" t="n">
        <x:v>10000</x:v>
      </x:c>
      <x:c r="AA12" s="14" t="n">
        <x:v>100.16901999999999</x:v>
      </x:c>
      <x:c r="AB12" s="2"/>
    </x:row>
    <x:row r="13" ht="20" customHeight="1">
      <x:c r="A13" s="2"/>
      <x:c r="B13" s="2" t="str">
        <x:v>REC-007</x:v>
      </x:c>
      <x:c r="C13" s="2" t="str">
        <x:v>TR-007</x:v>
      </x:c>
      <x:c r="D13" s="13" t="n">
        <x:v>46280</x:v>
      </x:c>
      <x:c r="E13" s="13" t="n">
        <x:v>46282</x:v>
      </x:c>
      <x:c r="F13" s="13" t="n">
        <x:v>46282</x:v>
      </x:c>
      <x:c r="G13" s="2" t="str">
        <x:v>FR0000120644</x:v>
      </x:c>
      <x:c r="H13" s="2" t="str">
        <x:v>VENTE</x:v>
      </x:c>
      <x:c r="I13" s="2" t="n">
        <x:v>200</x:v>
      </x:c>
      <x:c r="J13" s="12" t="n">
        <x:v>60.48</x:v>
      </x:c>
      <x:c r="K13" s="12" t="n">
        <x:v>5</x:v>
      </x:c>
      <x:c r="L13" s="2" t="str">
        <x:v>EUR</x:v>
      </x:c>
      <x:c r="M13" s="2"/>
      <x:c r="N13" s="2"/>
      <x:c r="O13" s="13" t="n">
        <x:v>46280</x:v>
      </x:c>
      <x:c r="P13" s="2" t="str">
        <x:v>FR0000121972</x:v>
      </x:c>
      <x:c r="Q13" s="2" t="n">
        <x:v>0</x:v>
      </x:c>
      <x:c r="R13" s="2"/>
      <x:c r="S13" s="2"/>
      <x:c r="T13" s="11" t="n">
        <x:v>46287</x:v>
      </x:c>
      <x:c r="U13" s="12" t="n">
        <x:v>499425.4</x:v>
      </x:c>
      <x:c r="V13" s="2"/>
      <x:c r="W13" s="2"/>
      <x:c r="X13" s="11" t="n">
        <x:v>46287</x:v>
      </x:c>
      <x:c r="Y13" s="12" t="n">
        <x:v>1001790</x:v>
      </x:c>
      <x:c r="Z13" s="2" t="n">
        <x:v>10000</x:v>
      </x:c>
      <x:c r="AA13" s="14" t="n">
        <x:v>100.179</x:v>
      </x:c>
      <x:c r="AB13" s="2"/>
    </x:row>
    <x:row r="14" ht="20" customHeight="1">
      <x:c r="A14" s="2"/>
      <x:c r="B14" s="2" t="str">
        <x:v>REC-008</x:v>
      </x:c>
      <x:c r="C14" s="2" t="str">
        <x:v>TR-008</x:v>
      </x:c>
      <x:c r="D14" s="13" t="n">
        <x:v>46280</x:v>
      </x:c>
      <x:c r="E14" s="13" t="n">
        <x:v>46282</x:v>
      </x:c>
      <x:c r="F14" s="13" t="n">
        <x:v>46282</x:v>
      </x:c>
      <x:c r="G14" s="2" t="str">
        <x:v>FR0000120321</x:v>
      </x:c>
      <x:c r="H14" s="2" t="str">
        <x:v>ACHAT</x:v>
      </x:c>
      <x:c r="I14" s="2" t="n">
        <x:v>50</x:v>
      </x:c>
      <x:c r="J14" s="12" t="n">
        <x:v>384.38</x:v>
      </x:c>
      <x:c r="K14" s="12" t="n">
        <x:v>5</x:v>
      </x:c>
      <x:c r="L14" s="2" t="str">
        <x:v>EUR</x:v>
      </x:c>
      <x:c r="M14" s="2"/>
      <x:c r="N14" s="2"/>
      <x:c r="O14" s="13" t="n">
        <x:v>46280</x:v>
      </x:c>
      <x:c r="P14" s="2" t="str">
        <x:v>FR0000120644</x:v>
      </x:c>
      <x:c r="Q14" s="2" t="n">
        <x:v>0</x:v>
      </x:c>
      <x:c r="R14" s="2"/>
      <x:c r="S14" s="2"/>
      <x:c r="T14" s="11" t="n">
        <x:v>46288</x:v>
      </x:c>
      <x:c r="U14" s="12" t="n">
        <x:v>481694.8</x:v>
      </x:c>
      <x:c r="V14" s="2"/>
      <x:c r="W14" s="2"/>
      <x:c r="X14" s="11" t="n">
        <x:v>46288</x:v>
      </x:c>
      <x:c r="Y14" s="12" t="n">
        <x:v>1002732.15</x:v>
      </x:c>
      <x:c r="Z14" s="2" t="n">
        <x:v>10000</x:v>
      </x:c>
      <x:c r="AA14" s="14" t="n">
        <x:v>100.27321500000001</x:v>
      </x:c>
      <x:c r="AB14" s="2"/>
    </x:row>
    <x:row r="15" ht="20" customHeight="1">
      <x:c r="A15" s="2"/>
      <x:c r="B15" s="2" t="str">
        <x:v>REC-009</x:v>
      </x:c>
      <x:c r="C15" s="2" t="str">
        <x:v>TR-009</x:v>
      </x:c>
      <x:c r="D15" s="13" t="n">
        <x:v>46281</x:v>
      </x:c>
      <x:c r="E15" s="13" t="n">
        <x:v>46283</x:v>
      </x:c>
      <x:c r="F15" s="13" t="n">
        <x:v>46283</x:v>
      </x:c>
      <x:c r="G15" s="2" t="str">
        <x:v>FR0000121972</x:v>
      </x:c>
      <x:c r="H15" s="2" t="str">
        <x:v>VENTE</x:v>
      </x:c>
      <x:c r="I15" s="2" t="n">
        <x:v>50</x:v>
      </x:c>
      <x:c r="J15" s="12" t="n">
        <x:v>209.3</x:v>
      </x:c>
      <x:c r="K15" s="12" t="n">
        <x:v>5</x:v>
      </x:c>
      <x:c r="L15" s="2" t="str">
        <x:v>EUR</x:v>
      </x:c>
      <x:c r="M15" s="2"/>
      <x:c r="N15" s="2"/>
      <x:c r="O15" s="13" t="n">
        <x:v>46280</x:v>
      </x:c>
      <x:c r="P15" s="2" t="str">
        <x:v>FR0000125486</x:v>
      </x:c>
      <x:c r="Q15" s="2" t="n">
        <x:v>0</x:v>
      </x:c>
      <x:c r="R15" s="2"/>
      <x:c r="S15" s="2"/>
      <x:c r="T15" s="11" t="n">
        <x:v>46289</x:v>
      </x:c>
      <x:c r="U15" s="12" t="n">
        <x:v>479828.8</x:v>
      </x:c>
      <x:c r="V15" s="2"/>
      <x:c r="W15" s="2"/>
      <x:c r="X15" s="11" t="n">
        <x:v>46289</x:v>
      </x:c>
      <x:c r="Y15" s="12" t="n">
        <x:v>1002596.65</x:v>
      </x:c>
      <x:c r="Z15" s="2" t="n">
        <x:v>10000</x:v>
      </x:c>
      <x:c r="AA15" s="14" t="n">
        <x:v>100.259665</x:v>
      </x:c>
      <x:c r="AB15" s="2"/>
    </x:row>
    <x:row r="16" ht="20" customHeight="1">
      <x:c r="A16" s="2"/>
      <x:c r="B16" s="2" t="str">
        <x:v>REC-010</x:v>
      </x:c>
      <x:c r="C16" s="2" t="str">
        <x:v>TR-010</x:v>
      </x:c>
      <x:c r="D16" s="13" t="n">
        <x:v>46281</x:v>
      </x:c>
      <x:c r="E16" s="13" t="n">
        <x:v>46283</x:v>
      </x:c>
      <x:c r="F16" s="13" t="n">
        <x:v>46283</x:v>
      </x:c>
      <x:c r="G16" s="2" t="str">
        <x:v>FR0000125486</x:v>
      </x:c>
      <x:c r="H16" s="2" t="str">
        <x:v>ACHAT</x:v>
      </x:c>
      <x:c r="I16" s="2" t="n">
        <x:v>100</x:v>
      </x:c>
      <x:c r="J16" s="12" t="n">
        <x:v>115.82</x:v>
      </x:c>
      <x:c r="K16" s="12" t="n">
        <x:v>5</x:v>
      </x:c>
      <x:c r="L16" s="2" t="str">
        <x:v>EUR</x:v>
      </x:c>
      <x:c r="M16" s="2"/>
      <x:c r="N16" s="2"/>
      <x:c r="O16" s="13" t="n">
        <x:v>46280</x:v>
      </x:c>
      <x:c r="P16" s="2" t="str">
        <x:v>FR0000120321</x:v>
      </x:c>
      <x:c r="Q16" s="2" t="n">
        <x:v>0</x:v>
      </x:c>
      <x:c r="R16" s="2"/>
      <x:c r="S16" s="2"/>
      <x:c r="T16" s="11" t="n">
        <x:v>46290</x:v>
      </x:c>
      <x:c r="U16" s="12" t="n">
        <x:v>471063.5</x:v>
      </x:c>
      <x:c r="V16" s="2"/>
      <x:c r="W16" s="2"/>
      <x:c r="X16" s="11" t="n">
        <x:v>46290</x:v>
      </x:c>
      <x:c r="Y16" s="12" t="n">
        <x:v>1002641.1</x:v>
      </x:c>
      <x:c r="Z16" s="2" t="n">
        <x:v>10000</x:v>
      </x:c>
      <x:c r="AA16" s="14" t="n">
        <x:v>100.26411</x:v>
      </x:c>
      <x:c r="AB16" s="2"/>
    </x:row>
    <x:row r="17" ht="20" customHeight="1">
      <x:c r="A17" s="2"/>
      <x:c r="B17" s="2" t="str">
        <x:v>REC-011</x:v>
      </x:c>
      <x:c r="C17" s="2" t="str">
        <x:v>TR-011</x:v>
      </x:c>
      <x:c r="D17" s="13" t="n">
        <x:v>46282</x:v>
      </x:c>
      <x:c r="E17" s="13" t="n">
        <x:v>46286</x:v>
      </x:c>
      <x:c r="F17" s="13" t="n">
        <x:v>46286</x:v>
      </x:c>
      <x:c r="G17" s="2" t="str">
        <x:v>FR0000120073</x:v>
      </x:c>
      <x:c r="H17" s="2" t="str">
        <x:v>VENTE</x:v>
      </x:c>
      <x:c r="I17" s="2" t="n">
        <x:v>80</x:v>
      </x:c>
      <x:c r="J17" s="12" t="n">
        <x:v>165.42</x:v>
      </x:c>
      <x:c r="K17" s="12" t="n">
        <x:v>5</x:v>
      </x:c>
      <x:c r="L17" s="2" t="str">
        <x:v>EUR</x:v>
      </x:c>
      <x:c r="M17" s="2"/>
      <x:c r="N17" s="2"/>
      <x:c r="O17" s="13" t="n">
        <x:v>46281</x:v>
      </x:c>
      <x:c r="P17" s="2" t="str">
        <x:v>FR0000120073</x:v>
      </x:c>
      <x:c r="Q17" s="2" t="n">
        <x:v>600</x:v>
      </x:c>
      <x:c r="R17" s="2"/>
      <x:c r="S17" s="2"/>
      <x:c r="T17" s="11"/>
      <x:c r="U17" s="12"/>
      <x:c r="V17" s="2"/>
      <x:c r="W17" s="2"/>
      <x:c r="X17" s="11"/>
      <x:c r="Y17" s="12"/>
      <x:c r="Z17" s="2"/>
      <x:c r="AA17" s="14"/>
      <x:c r="AB17" s="2"/>
    </x:row>
    <x:row r="18" ht="20" customHeight="1">
      <x:c r="A18" s="2"/>
      <x:c r="B18" s="2" t="str">
        <x:v>REC-012</x:v>
      </x:c>
      <x:c r="C18" s="2" t="str">
        <x:v>TR-012</x:v>
      </x:c>
      <x:c r="D18" s="13" t="n">
        <x:v>46282</x:v>
      </x:c>
      <x:c r="E18" s="13" t="n">
        <x:v>46286</x:v>
      </x:c>
      <x:c r="F18" s="13" t="n">
        <x:v>46286</x:v>
      </x:c>
      <x:c r="G18" s="2" t="str">
        <x:v>FR0000120644</x:v>
      </x:c>
      <x:c r="H18" s="2" t="str">
        <x:v>ACHAT</x:v>
      </x:c>
      <x:c r="I18" s="2" t="n">
        <x:v>150</x:v>
      </x:c>
      <x:c r="J18" s="12" t="n">
        <x:v>60.37</x:v>
      </x:c>
      <x:c r="K18" s="12" t="n">
        <x:v>5</x:v>
      </x:c>
      <x:c r="L18" s="2" t="str">
        <x:v>EUR</x:v>
      </x:c>
      <x:c r="M18" s="2"/>
      <x:c r="N18" s="2"/>
      <x:c r="O18" s="13" t="n">
        <x:v>46281</x:v>
      </x:c>
      <x:c r="P18" s="2" t="str">
        <x:v>FR0000121972</x:v>
      </x:c>
      <x:c r="Q18" s="2" t="n">
        <x:v>400</x:v>
      </x:c>
      <x:c r="R18" s="2"/>
      <x:c r="S18" s="2"/>
      <x:c r="T18" s="11"/>
      <x:c r="U18" s="12"/>
      <x:c r="V18" s="2"/>
      <x:c r="W18" s="2"/>
      <x:c r="X18" s="11"/>
      <x:c r="Y18" s="12"/>
      <x:c r="Z18" s="2"/>
      <x:c r="AA18" s="14"/>
      <x:c r="AB18" s="2"/>
    </x:row>
    <x:row r="19" ht="20" customHeight="1">
      <x:c r="A19" s="2"/>
      <x:c r="B19" s="2" t="str">
        <x:v>REC-013</x:v>
      </x:c>
      <x:c r="C19" s="2" t="str">
        <x:v>TR-013</x:v>
      </x:c>
      <x:c r="D19" s="13" t="n">
        <x:v>46283</x:v>
      </x:c>
      <x:c r="E19" s="13" t="n">
        <x:v>46287</x:v>
      </x:c>
      <x:c r="F19" s="13" t="n">
        <x:v>46287</x:v>
      </x:c>
      <x:c r="G19" s="2" t="str">
        <x:v>FR0000120321</x:v>
      </x:c>
      <x:c r="H19" s="2" t="str">
        <x:v>VENTE</x:v>
      </x:c>
      <x:c r="I19" s="2" t="n">
        <x:v>30</x:v>
      </x:c>
      <x:c r="J19" s="12" t="n">
        <x:v>383</x:v>
      </x:c>
      <x:c r="K19" s="12" t="n">
        <x:v>5</x:v>
      </x:c>
      <x:c r="L19" s="2" t="str">
        <x:v>EUR</x:v>
      </x:c>
      <x:c r="M19" s="2"/>
      <x:c r="N19" s="2"/>
      <x:c r="O19" s="13" t="n">
        <x:v>46281</x:v>
      </x:c>
      <x:c r="P19" s="2" t="str">
        <x:v>FR0000120644</x:v>
      </x:c>
      <x:c r="Q19" s="2" t="n">
        <x:v>1800</x:v>
      </x:c>
      <x:c r="R19" s="2"/>
      <x:c r="S19" s="2"/>
      <x:c r="T19" s="11"/>
      <x:c r="U19" s="12"/>
      <x:c r="V19" s="2"/>
      <x:c r="W19" s="2"/>
      <x:c r="X19" s="11"/>
      <x:c r="Y19" s="12"/>
      <x:c r="Z19" s="2"/>
      <x:c r="AA19" s="14"/>
      <x:c r="AB19" s="2"/>
    </x:row>
    <x:row r="20" ht="20" customHeight="1">
      <x:c r="A20" s="2"/>
      <x:c r="B20" s="2" t="str">
        <x:v>REC-014</x:v>
      </x:c>
      <x:c r="C20" s="2" t="str">
        <x:v>TR-014</x:v>
      </x:c>
      <x:c r="D20" s="13" t="n">
        <x:v>46283</x:v>
      </x:c>
      <x:c r="E20" s="13" t="n">
        <x:v>46287</x:v>
      </x:c>
      <x:c r="F20" s="13" t="n">
        <x:v>46287</x:v>
      </x:c>
      <x:c r="G20" s="2" t="str">
        <x:v>FR0000121972</x:v>
      </x:c>
      <x:c r="H20" s="2" t="str">
        <x:v>ACHAT</x:v>
      </x:c>
      <x:c r="I20" s="2" t="n">
        <x:v>60</x:v>
      </x:c>
      <x:c r="J20" s="12" t="n">
        <x:v>208.27</x:v>
      </x:c>
      <x:c r="K20" s="12" t="n">
        <x:v>5</x:v>
      </x:c>
      <x:c r="L20" s="2" t="str">
        <x:v>EUR</x:v>
      </x:c>
      <x:c r="M20" s="2"/>
      <x:c r="N20" s="2"/>
      <x:c r="O20" s="13" t="n">
        <x:v>46281</x:v>
      </x:c>
      <x:c r="P20" s="2" t="str">
        <x:v>FR0000125486</x:v>
      </x:c>
      <x:c r="Q20" s="2" t="n">
        <x:v>900</x:v>
      </x:c>
      <x:c r="R20" s="2"/>
      <x:c r="S20" s="2"/>
      <x:c r="T20" s="11"/>
      <x:c r="U20" s="12"/>
      <x:c r="V20" s="2"/>
      <x:c r="W20" s="2"/>
      <x:c r="X20" s="11"/>
      <x:c r="Y20" s="12"/>
      <x:c r="Z20" s="2"/>
      <x:c r="AA20" s="14"/>
      <x:c r="AB20" s="2"/>
    </x:row>
    <x:row r="21" ht="20" customHeight="1">
      <x:c r="A21" s="2"/>
      <x:c r="B21" s="2" t="str">
        <x:v>REC-015</x:v>
      </x:c>
      <x:c r="C21" s="2" t="str">
        <x:v>TR-015</x:v>
      </x:c>
      <x:c r="D21" s="13" t="n">
        <x:v>46283</x:v>
      </x:c>
      <x:c r="E21" s="13" t="n">
        <x:v>46287</x:v>
      </x:c>
      <x:c r="F21" s="13" t="n">
        <x:v>46287</x:v>
      </x:c>
      <x:c r="G21" s="2" t="str">
        <x:v>FR0000125486</x:v>
      </x:c>
      <x:c r="H21" s="2" t="str">
        <x:v>VENTE</x:v>
      </x:c>
      <x:c r="I21" s="2" t="n">
        <x:v>100</x:v>
      </x:c>
      <x:c r="J21" s="12" t="n">
        <x:v>115.91</x:v>
      </x:c>
      <x:c r="K21" s="12" t="n">
        <x:v>5</x:v>
      </x:c>
      <x:c r="L21" s="2" t="str">
        <x:v>EUR</x:v>
      </x:c>
      <x:c r="M21" s="2"/>
      <x:c r="N21" s="2"/>
      <x:c r="O21" s="13" t="n">
        <x:v>46281</x:v>
      </x:c>
      <x:c r="P21" s="2" t="str">
        <x:v>FR0000120321</x:v>
      </x:c>
      <x:c r="Q21" s="2" t="n">
        <x:v>250</x:v>
      </x:c>
      <x:c r="R21" s="2"/>
      <x:c r="S21" s="2"/>
      <x:c r="T21" s="11"/>
      <x:c r="U21" s="12"/>
      <x:c r="V21" s="2"/>
      <x:c r="W21" s="2"/>
      <x:c r="X21" s="11"/>
      <x:c r="Y21" s="12"/>
      <x:c r="Z21" s="2"/>
      <x:c r="AA21" s="14"/>
      <x:c r="AB21" s="2"/>
    </x:row>
    <x:row r="22" ht="20" customHeight="1">
      <x:c r="A22" s="2"/>
      <x:c r="B22" s="2" t="str">
        <x:v>REC-016</x:v>
      </x:c>
      <x:c r="C22" s="2" t="str">
        <x:v>TR-016</x:v>
      </x:c>
      <x:c r="D22" s="13" t="n">
        <x:v>46286</x:v>
      </x:c>
      <x:c r="E22" s="13" t="n">
        <x:v>46288</x:v>
      </x:c>
      <x:c r="F22" s="13" t="n">
        <x:v>46288</x:v>
      </x:c>
      <x:c r="G22" s="2" t="str">
        <x:v>FR0000120073</x:v>
      </x:c>
      <x:c r="H22" s="2" t="str">
        <x:v>ACHAT</x:v>
      </x:c>
      <x:c r="I22" s="2" t="n">
        <x:v>70</x:v>
      </x:c>
      <x:c r="J22" s="12" t="n">
        <x:v>166.68</x:v>
      </x:c>
      <x:c r="K22" s="12" t="n">
        <x:v>5</x:v>
      </x:c>
      <x:c r="L22" s="2" t="str">
        <x:v>EUR</x:v>
      </x:c>
      <x:c r="M22" s="2"/>
      <x:c r="N22" s="2"/>
      <x:c r="O22" s="13" t="n">
        <x:v>46282</x:v>
      </x:c>
      <x:c r="P22" s="2" t="str">
        <x:v>FR0000120073</x:v>
      </x:c>
      <x:c r="Q22" s="2" t="n">
        <x:v>700</x:v>
      </x:c>
      <x:c r="R22" s="2"/>
      <x:c r="S22" s="2"/>
      <x:c r="T22" s="11"/>
      <x:c r="U22" s="12"/>
      <x:c r="V22" s="2"/>
      <x:c r="W22" s="2"/>
      <x:c r="X22" s="11"/>
      <x:c r="Y22" s="12"/>
      <x:c r="Z22" s="2"/>
      <x:c r="AA22" s="14"/>
      <x:c r="AB22" s="2"/>
    </x:row>
    <x:row r="23" ht="20" customHeight="1">
      <x:c r="A23" s="2"/>
      <x:c r="B23" s="2" t="str">
        <x:v>REC-017</x:v>
      </x:c>
      <x:c r="C23" s="2" t="str">
        <x:v>TR-017</x:v>
      </x:c>
      <x:c r="D23" s="13" t="n">
        <x:v>46286</x:v>
      </x:c>
      <x:c r="E23" s="13" t="n">
        <x:v>46288</x:v>
      </x:c>
      <x:c r="F23" s="13" t="n">
        <x:v>46290</x:v>
      </x:c>
      <x:c r="G23" s="2" t="str">
        <x:v>FR0000121972</x:v>
      </x:c>
      <x:c r="H23" s="2" t="str">
        <x:v>ACHAT</x:v>
      </x:c>
      <x:c r="I23" s="2" t="n">
        <x:v>40</x:v>
      </x:c>
      <x:c r="J23" s="12" t="n">
        <x:v>208.34</x:v>
      </x:c>
      <x:c r="K23" s="12" t="n">
        <x:v>5</x:v>
      </x:c>
      <x:c r="L23" s="2" t="str">
        <x:v>EUR</x:v>
      </x:c>
      <x:c r="M23" s="2"/>
      <x:c r="N23" s="2"/>
      <x:c r="O23" s="13" t="n">
        <x:v>46282</x:v>
      </x:c>
      <x:c r="P23" s="2" t="str">
        <x:v>FR0000121972</x:v>
      </x:c>
      <x:c r="Q23" s="2" t="n">
        <x:v>400</x:v>
      </x:c>
      <x:c r="R23" s="2"/>
      <x:c r="S23" s="2"/>
      <x:c r="T23" s="11"/>
      <x:c r="U23" s="12"/>
      <x:c r="V23" s="2"/>
      <x:c r="W23" s="2"/>
      <x:c r="X23" s="11"/>
      <x:c r="Y23" s="12"/>
      <x:c r="Z23" s="2"/>
      <x:c r="AA23" s="14"/>
      <x:c r="AB23" s="2"/>
    </x:row>
    <x:row r="24" ht="20" customHeight="1">
      <x:c r="A24" s="2"/>
      <x:c r="B24" s="2" t="str">
        <x:v>REC-018</x:v>
      </x:c>
      <x:c r="C24" s="2" t="str">
        <x:v>TR-018</x:v>
      </x:c>
      <x:c r="D24" s="13" t="n">
        <x:v>46286</x:v>
      </x:c>
      <x:c r="E24" s="13" t="n">
        <x:v>46288</x:v>
      </x:c>
      <x:c r="F24" s="13" t="n">
        <x:v>46288</x:v>
      </x:c>
      <x:c r="G24" s="2" t="str">
        <x:v>FR0000120644</x:v>
      </x:c>
      <x:c r="H24" s="2" t="str">
        <x:v>ACHAT</x:v>
      </x:c>
      <x:c r="I24" s="2" t="n">
        <x:v>100</x:v>
      </x:c>
      <x:c r="J24" s="12" t="n">
        <x:v>60.28</x:v>
      </x:c>
      <x:c r="K24" s="12" t="n">
        <x:v>5</x:v>
      </x:c>
      <x:c r="L24" s="2" t="str">
        <x:v>EUR</x:v>
      </x:c>
      <x:c r="M24" s="2"/>
      <x:c r="N24" s="2"/>
      <x:c r="O24" s="13" t="n">
        <x:v>46282</x:v>
      </x:c>
      <x:c r="P24" s="2" t="str">
        <x:v>FR0000120644</x:v>
      </x:c>
      <x:c r="Q24" s="2" t="n">
        <x:v>1600</x:v>
      </x:c>
      <x:c r="R24" s="2"/>
      <x:c r="S24" s="2"/>
      <x:c r="T24" s="11"/>
      <x:c r="U24" s="12"/>
      <x:c r="V24" s="2"/>
      <x:c r="W24" s="2"/>
      <x:c r="X24" s="11"/>
      <x:c r="Y24" s="12"/>
      <x:c r="Z24" s="2"/>
      <x:c r="AA24" s="14"/>
      <x:c r="AB24" s="2"/>
    </x:row>
    <x:row r="25" ht="20" customHeight="1">
      <x:c r="A25" s="2"/>
      <x:c r="B25" s="2" t="str">
        <x:v>REC-019</x:v>
      </x:c>
      <x:c r="C25" s="2" t="str">
        <x:v>TR-019</x:v>
      </x:c>
      <x:c r="D25" s="13" t="n">
        <x:v>46287</x:v>
      </x:c>
      <x:c r="E25" s="13" t="n">
        <x:v>46289</x:v>
      </x:c>
      <x:c r="F25" s="13" t="n">
        <x:v>46289</x:v>
      </x:c>
      <x:c r="G25" s="2" t="str">
        <x:v>FR0000125486</x:v>
      </x:c>
      <x:c r="H25" s="2" t="str">
        <x:v>VENTE</x:v>
      </x:c>
      <x:c r="I25" s="2" t="n">
        <x:v>50</x:v>
      </x:c>
      <x:c r="J25" s="12" t="n">
        <x:v>115.96</x:v>
      </x:c>
      <x:c r="K25" s="12" t="n">
        <x:v>5</x:v>
      </x:c>
      <x:c r="L25" s="2" t="str">
        <x:v>EUR</x:v>
      </x:c>
      <x:c r="M25" s="2"/>
      <x:c r="N25" s="2"/>
      <x:c r="O25" s="13" t="n">
        <x:v>46282</x:v>
      </x:c>
      <x:c r="P25" s="2" t="str">
        <x:v>FR0000125486</x:v>
      </x:c>
      <x:c r="Q25" s="2" t="n">
        <x:v>900</x:v>
      </x:c>
      <x:c r="R25" s="2"/>
      <x:c r="S25" s="2"/>
      <x:c r="T25" s="11"/>
      <x:c r="U25" s="12"/>
      <x:c r="V25" s="2"/>
      <x:c r="W25" s="2"/>
      <x:c r="X25" s="11"/>
      <x:c r="Y25" s="12"/>
      <x:c r="Z25" s="2"/>
      <x:c r="AA25" s="14"/>
      <x:c r="AB25" s="2"/>
    </x:row>
    <x:row r="26" ht="20" customHeight="1">
      <x:c r="A26" s="2"/>
      <x:c r="B26" s="2" t="str">
        <x:v>REC-020</x:v>
      </x:c>
      <x:c r="C26" s="2" t="str">
        <x:v>TR-020</x:v>
      </x:c>
      <x:c r="D26" s="13" t="n">
        <x:v>46287</x:v>
      </x:c>
      <x:c r="E26" s="13" t="n">
        <x:v>46289</x:v>
      </x:c>
      <x:c r="F26" s="13" t="n">
        <x:v>46289</x:v>
      </x:c>
      <x:c r="G26" s="2" t="str">
        <x:v>FR0000120321</x:v>
      </x:c>
      <x:c r="H26" s="2" t="str">
        <x:v>ACHAT</x:v>
      </x:c>
      <x:c r="I26" s="2" t="n">
        <x:v>20</x:v>
      </x:c>
      <x:c r="J26" s="12" t="n">
        <x:v>382.7</x:v>
      </x:c>
      <x:c r="K26" s="12" t="n">
        <x:v>5</x:v>
      </x:c>
      <x:c r="L26" s="2" t="str">
        <x:v>EUR</x:v>
      </x:c>
      <x:c r="M26" s="2"/>
      <x:c r="N26" s="2"/>
      <x:c r="O26" s="13" t="n">
        <x:v>46282</x:v>
      </x:c>
      <x:c r="P26" s="2" t="str">
        <x:v>FR0000120321</x:v>
      </x:c>
      <x:c r="Q26" s="2" t="n">
        <x:v>300</x:v>
      </x:c>
      <x:c r="R26" s="2"/>
      <x:c r="S26" s="2"/>
      <x:c r="T26" s="11"/>
      <x:c r="U26" s="12"/>
      <x:c r="V26" s="2"/>
      <x:c r="W26" s="2"/>
      <x:c r="X26" s="11"/>
      <x:c r="Y26" s="12"/>
      <x:c r="Z26" s="2"/>
      <x:c r="AA26" s="14"/>
      <x:c r="AB26" s="2"/>
    </x:row>
    <x:row r="27" ht="20" customHeight="1">
      <x:c r="A27" s="2"/>
      <x:c r="B27" s="2" t="str">
        <x:v>REC-021</x:v>
      </x:c>
      <x:c r="C27" s="2" t="str">
        <x:v>TR-021</x:v>
      </x:c>
      <x:c r="D27" s="13" t="n">
        <x:v>46288</x:v>
      </x:c>
      <x:c r="E27" s="13" t="n">
        <x:v>46290</x:v>
      </x:c>
      <x:c r="F27" s="13" t="n">
        <x:v>46290</x:v>
      </x:c>
      <x:c r="G27" s="2" t="str">
        <x:v>FR0000120073</x:v>
      </x:c>
      <x:c r="H27" s="2" t="str">
        <x:v>ACHAT</x:v>
      </x:c>
      <x:c r="I27" s="2" t="n">
        <x:v>30</x:v>
      </x:c>
      <x:c r="J27" s="12" t="n">
        <x:v>166.89</x:v>
      </x:c>
      <x:c r="K27" s="12" t="n">
        <x:v>5</x:v>
      </x:c>
      <x:c r="L27" s="2" t="str">
        <x:v>EUR</x:v>
      </x:c>
      <x:c r="M27" s="2"/>
      <x:c r="N27" s="2"/>
      <x:c r="O27" s="13" t="n">
        <x:v>46283</x:v>
      </x:c>
      <x:c r="P27" s="2" t="str">
        <x:v>FR0000120073</x:v>
      </x:c>
      <x:c r="Q27" s="2" t="n">
        <x:v>700</x:v>
      </x:c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2" t="str">
        <x:v>REC-022</x:v>
      </x:c>
      <x:c r="C28" s="2" t="str">
        <x:v>TR-022</x:v>
      </x:c>
      <x:c r="D28" s="13" t="n">
        <x:v>46288</x:v>
      </x:c>
      <x:c r="E28" s="13" t="n">
        <x:v>46290</x:v>
      </x:c>
      <x:c r="F28" s="13" t="n">
        <x:v>46290</x:v>
      </x:c>
      <x:c r="G28" s="2" t="str">
        <x:v>FR0000120644</x:v>
      </x:c>
      <x:c r="H28" s="2" t="str">
        <x:v>VENTE</x:v>
      </x:c>
      <x:c r="I28" s="2" t="n">
        <x:v>75</x:v>
      </x:c>
      <x:c r="J28" s="12" t="n">
        <x:v>61.2</x:v>
      </x:c>
      <x:c r="K28" s="12" t="n">
        <x:v>5</x:v>
      </x:c>
      <x:c r="L28" s="2" t="str">
        <x:v>EUR</x:v>
      </x:c>
      <x:c r="M28" s="2"/>
      <x:c r="N28" s="2"/>
      <x:c r="O28" s="13" t="n">
        <x:v>46283</x:v>
      </x:c>
      <x:c r="P28" s="2" t="str">
        <x:v>FR0000121972</x:v>
      </x:c>
      <x:c r="Q28" s="2" t="n">
        <x:v>350</x:v>
      </x:c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2" t="str">
        <x:v>REC-023</x:v>
      </x:c>
      <x:c r="C29" s="2" t="str">
        <x:v>TR-023</x:v>
      </x:c>
      <x:c r="D29" s="13" t="n">
        <x:v>46289</x:v>
      </x:c>
      <x:c r="E29" s="13" t="n">
        <x:v>46293</x:v>
      </x:c>
      <x:c r="F29" s="13" t="n">
        <x:v>46293</x:v>
      </x:c>
      <x:c r="G29" s="2" t="str">
        <x:v>FR0000121972</x:v>
      </x:c>
      <x:c r="H29" s="2" t="str">
        <x:v>VENTE</x:v>
      </x:c>
      <x:c r="I29" s="2" t="n">
        <x:v>25</x:v>
      </x:c>
      <x:c r="J29" s="12" t="n">
        <x:v>207.38</x:v>
      </x:c>
      <x:c r="K29" s="12" t="n">
        <x:v>5</x:v>
      </x:c>
      <x:c r="L29" s="2" t="str">
        <x:v>EUR</x:v>
      </x:c>
      <x:c r="M29" s="2"/>
      <x:c r="N29" s="2"/>
      <x:c r="O29" s="13" t="n">
        <x:v>46283</x:v>
      </x:c>
      <x:c r="P29" s="2" t="str">
        <x:v>FR0000120644</x:v>
      </x:c>
      <x:c r="Q29" s="2" t="n">
        <x:v>1600</x:v>
      </x:c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34" customHeight="1">
      <x:c r="A30" s="2"/>
      <x:c r="B30" s="2" t="str">
        <x:v>REC-024</x:v>
      </x:c>
      <x:c r="C30" s="2" t="str">
        <x:v>TR-024</x:v>
      </x:c>
      <x:c r="D30" s="13" t="n">
        <x:v>46289</x:v>
      </x:c>
      <x:c r="E30" s="13" t="n">
        <x:v>46293</x:v>
      </x:c>
      <x:c r="F30" s="13" t="n">
        <x:v>46293</x:v>
      </x:c>
      <x:c r="G30" s="2" t="str">
        <x:v>FR0000125486</x:v>
      </x:c>
      <x:c r="H30" s="2" t="str">
        <x:v>ACHAT</x:v>
      </x:c>
      <x:c r="I30" s="2" t="n">
        <x:v>80</x:v>
      </x:c>
      <x:c r="J30" s="12" t="n">
        <x:v>117.1</x:v>
      </x:c>
      <x:c r="K30" s="12" t="n">
        <x:v>5</x:v>
      </x:c>
      <x:c r="L30" s="2" t="str">
        <x:v>EUR</x:v>
      </x:c>
      <x:c r="M30" s="2"/>
      <x:c r="N30" s="2"/>
      <x:c r="O30" s="13" t="n">
        <x:v>46283</x:v>
      </x:c>
      <x:c r="P30" s="2" t="str">
        <x:v>FR0000125486</x:v>
      </x:c>
      <x:c r="Q30" s="2" t="n">
        <x:v>1000</x:v>
      </x:c>
      <x:c r="R30" s="2"/>
      <x:c r="S30" s="2"/>
      <x:c r="T30" s="8" t="str">
        <x:v>CashID</x:v>
      </x:c>
      <x:c r="U30" s="8" t="str">
        <x:v>Date</x:v>
      </x:c>
      <x:c r="V30" s="8" t="str">
        <x:v>MontantEUR</x:v>
      </x:c>
      <x:c r="W30" s="8" t="str">
        <x:v>Libelle</x:v>
      </x:c>
      <x:c r="X30" s="2"/>
      <x:c r="Y30" s="2"/>
      <x:c r="Z30" s="2"/>
      <x:c r="AA30" s="2"/>
      <x:c r="AB30" s="2"/>
    </x:row>
    <x:row r="31" ht="20" customHeight="1">
      <x:c r="A31" s="2"/>
      <x:c r="B31" s="2" t="str">
        <x:v>REC-025</x:v>
      </x:c>
      <x:c r="C31" s="2" t="str">
        <x:v>TR-025</x:v>
      </x:c>
      <x:c r="D31" s="13" t="n">
        <x:v>46290</x:v>
      </x:c>
      <x:c r="E31" s="13" t="n">
        <x:v>46294</x:v>
      </x:c>
      <x:c r="F31" s="13" t="n">
        <x:v>46294</x:v>
      </x:c>
      <x:c r="G31" s="2" t="str">
        <x:v>FR0000120321</x:v>
      </x:c>
      <x:c r="H31" s="2" t="str">
        <x:v>VENTE</x:v>
      </x:c>
      <x:c r="I31" s="2" t="n">
        <x:v>15</x:v>
      </x:c>
      <x:c r="J31" s="12" t="n">
        <x:v>381.32</x:v>
      </x:c>
      <x:c r="K31" s="12" t="n">
        <x:v>5</x:v>
      </x:c>
      <x:c r="L31" s="2" t="str">
        <x:v>EUR</x:v>
      </x:c>
      <x:c r="M31" s="2"/>
      <x:c r="N31" s="2"/>
      <x:c r="O31" s="13" t="n">
        <x:v>46283</x:v>
      </x:c>
      <x:c r="P31" s="2" t="str">
        <x:v>FR0000120321</x:v>
      </x:c>
      <x:c r="Q31" s="2" t="n">
        <x:v>300</x:v>
      </x:c>
      <x:c r="R31" s="2"/>
      <x:c r="S31" s="2"/>
      <x:c r="T31" s="2" t="str">
        <x:v>BANK-001</x:v>
      </x:c>
      <x:c r="U31" s="11" t="n">
        <x:v>46288</x:v>
      </x:c>
      <x:c r="V31" s="2" t="n">
        <x:v>-25</x:v>
      </x:c>
      <x:c r="W31" s="2" t="str">
        <x:v>Frais bancaires simulés</x:v>
      </x:c>
      <x:c r="X31" s="2"/>
      <x:c r="Y31" s="2"/>
      <x:c r="Z31" s="2"/>
      <x:c r="AA31" s="2"/>
      <x:c r="AB31" s="2"/>
    </x:row>
    <x:row r="32" ht="20" customHeight="1">
      <x:c r="A32" s="2"/>
      <x:c r="B32" s="2"/>
      <x:c r="C32" s="2"/>
      <x:c r="D32" s="13"/>
      <x:c r="E32" s="13"/>
      <x:c r="F32" s="13"/>
      <x:c r="G32" s="2"/>
      <x:c r="H32" s="2"/>
      <x:c r="I32" s="2"/>
      <x:c r="J32" s="12"/>
      <x:c r="K32" s="12"/>
      <x:c r="L32" s="2"/>
      <x:c r="M32" s="2"/>
      <x:c r="N32" s="2"/>
      <x:c r="O32" s="13" t="n">
        <x:v>46286</x:v>
      </x:c>
      <x:c r="P32" s="2" t="str">
        <x:v>FR0000120073</x:v>
      </x:c>
      <x:c r="Q32" s="2" t="n">
        <x:v>620</x:v>
      </x:c>
      <x:c r="R32" s="2"/>
      <x:c r="S32" s="2"/>
      <x:c r="T32" s="2"/>
      <x:c r="U32" s="11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2"/>
      <x:c r="C33" s="2"/>
      <x:c r="D33" s="13"/>
      <x:c r="E33" s="13"/>
      <x:c r="F33" s="13"/>
      <x:c r="G33" s="2"/>
      <x:c r="H33" s="2"/>
      <x:c r="I33" s="2"/>
      <x:c r="J33" s="12"/>
      <x:c r="K33" s="12"/>
      <x:c r="L33" s="2"/>
      <x:c r="M33" s="2"/>
      <x:c r="N33" s="2"/>
      <x:c r="O33" s="13" t="n">
        <x:v>46286</x:v>
      </x:c>
      <x:c r="P33" s="2" t="str">
        <x:v>FR0000121972</x:v>
      </x:c>
      <x:c r="Q33" s="2" t="n">
        <x:v>350</x:v>
      </x:c>
      <x:c r="R33" s="2"/>
      <x:c r="S33" s="2"/>
      <x:c r="T33" s="2"/>
      <x:c r="U33" s="11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2"/>
      <x:c r="C34" s="2"/>
      <x:c r="D34" s="13"/>
      <x:c r="E34" s="13"/>
      <x:c r="F34" s="13"/>
      <x:c r="G34" s="2"/>
      <x:c r="H34" s="2"/>
      <x:c r="I34" s="2"/>
      <x:c r="J34" s="12"/>
      <x:c r="K34" s="12"/>
      <x:c r="L34" s="2"/>
      <x:c r="M34" s="2"/>
      <x:c r="N34" s="2"/>
      <x:c r="O34" s="13" t="n">
        <x:v>46286</x:v>
      </x:c>
      <x:c r="P34" s="2" t="str">
        <x:v>FR0000120644</x:v>
      </x:c>
      <x:c r="Q34" s="2" t="n">
        <x:v>1750</x:v>
      </x:c>
      <x:c r="R34" s="2"/>
      <x:c r="S34" s="2"/>
      <x:c r="T34" s="2"/>
      <x:c r="U34" s="11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2"/>
      <x:c r="C35" s="2"/>
      <x:c r="D35" s="13"/>
      <x:c r="E35" s="13"/>
      <x:c r="F35" s="13"/>
      <x:c r="G35" s="2"/>
      <x:c r="H35" s="2"/>
      <x:c r="I35" s="2"/>
      <x:c r="J35" s="12"/>
      <x:c r="K35" s="12"/>
      <x:c r="L35" s="2"/>
      <x:c r="M35" s="2"/>
      <x:c r="N35" s="2"/>
      <x:c r="O35" s="13" t="n">
        <x:v>46286</x:v>
      </x:c>
      <x:c r="P35" s="2" t="str">
        <x:v>FR0000125486</x:v>
      </x:c>
      <x:c r="Q35" s="2" t="n">
        <x:v>1000</x:v>
      </x:c>
      <x:c r="R35" s="2"/>
      <x:c r="S35" s="2"/>
      <x:c r="T35" s="2"/>
      <x:c r="U35" s="11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2"/>
      <x:c r="C36" s="2"/>
      <x:c r="D36" s="13"/>
      <x:c r="E36" s="13"/>
      <x:c r="F36" s="13"/>
      <x:c r="G36" s="2"/>
      <x:c r="H36" s="2"/>
      <x:c r="I36" s="2"/>
      <x:c r="J36" s="12"/>
      <x:c r="K36" s="12"/>
      <x:c r="L36" s="2"/>
      <x:c r="M36" s="2"/>
      <x:c r="N36" s="2"/>
      <x:c r="O36" s="13" t="n">
        <x:v>46286</x:v>
      </x:c>
      <x:c r="P36" s="2" t="str">
        <x:v>FR0000120321</x:v>
      </x:c>
      <x:c r="Q36" s="2" t="n">
        <x:v>300</x:v>
      </x:c>
      <x:c r="R36" s="2"/>
      <x:c r="S36" s="2"/>
      <x:c r="T36" s="2"/>
      <x:c r="U36" s="11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2"/>
      <x:c r="C37" s="2"/>
      <x:c r="D37" s="13"/>
      <x:c r="E37" s="13"/>
      <x:c r="F37" s="13"/>
      <x:c r="G37" s="2"/>
      <x:c r="H37" s="2"/>
      <x:c r="I37" s="2"/>
      <x:c r="J37" s="12"/>
      <x:c r="K37" s="12"/>
      <x:c r="L37" s="2"/>
      <x:c r="M37" s="2"/>
      <x:c r="N37" s="2"/>
      <x:c r="O37" s="13" t="n">
        <x:v>46287</x:v>
      </x:c>
      <x:c r="P37" s="2" t="str">
        <x:v>FR0000120073</x:v>
      </x:c>
      <x:c r="Q37" s="2" t="n">
        <x:v>620</x:v>
      </x:c>
      <x:c r="R37" s="2"/>
      <x:c r="S37" s="2"/>
      <x:c r="T37" s="2"/>
      <x:c r="U37" s="11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2"/>
      <x:c r="C38" s="2"/>
      <x:c r="D38" s="13"/>
      <x:c r="E38" s="13"/>
      <x:c r="F38" s="13"/>
      <x:c r="G38" s="2"/>
      <x:c r="H38" s="2"/>
      <x:c r="I38" s="2"/>
      <x:c r="J38" s="12"/>
      <x:c r="K38" s="12"/>
      <x:c r="L38" s="2"/>
      <x:c r="M38" s="2"/>
      <x:c r="N38" s="2"/>
      <x:c r="O38" s="13" t="n">
        <x:v>46287</x:v>
      </x:c>
      <x:c r="P38" s="2" t="str">
        <x:v>FR0000121972</x:v>
      </x:c>
      <x:c r="Q38" s="2" t="n">
        <x:v>410</x:v>
      </x:c>
      <x:c r="R38" s="2"/>
      <x:c r="S38" s="2"/>
      <x:c r="T38" s="2"/>
      <x:c r="U38" s="11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2"/>
      <x:c r="C39" s="2"/>
      <x:c r="D39" s="13"/>
      <x:c r="E39" s="13"/>
      <x:c r="F39" s="13"/>
      <x:c r="G39" s="2"/>
      <x:c r="H39" s="2"/>
      <x:c r="I39" s="2"/>
      <x:c r="J39" s="12"/>
      <x:c r="K39" s="12"/>
      <x:c r="L39" s="2"/>
      <x:c r="M39" s="2"/>
      <x:c r="N39" s="2"/>
      <x:c r="O39" s="13" t="n">
        <x:v>46287</x:v>
      </x:c>
      <x:c r="P39" s="2" t="str">
        <x:v>FR0000120644</x:v>
      </x:c>
      <x:c r="Q39" s="2" t="n">
        <x:v>1750</x:v>
      </x:c>
      <x:c r="R39" s="2"/>
      <x:c r="S39" s="2"/>
      <x:c r="T39" s="2"/>
      <x:c r="U39" s="11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2"/>
      <x:c r="C40" s="2"/>
      <x:c r="D40" s="13"/>
      <x:c r="E40" s="13"/>
      <x:c r="F40" s="13"/>
      <x:c r="G40" s="2"/>
      <x:c r="H40" s="2"/>
      <x:c r="I40" s="2"/>
      <x:c r="J40" s="12"/>
      <x:c r="K40" s="12"/>
      <x:c r="L40" s="2"/>
      <x:c r="M40" s="2"/>
      <x:c r="N40" s="2"/>
      <x:c r="O40" s="13" t="n">
        <x:v>46287</x:v>
      </x:c>
      <x:c r="P40" s="2" t="str">
        <x:v>FR0000125486</x:v>
      </x:c>
      <x:c r="Q40" s="2" t="n">
        <x:v>900</x:v>
      </x:c>
      <x:c r="R40" s="2"/>
      <x:c r="S40" s="2"/>
      <x:c r="T40" s="2"/>
      <x:c r="U40" s="11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2"/>
      <x:c r="C41" s="2"/>
      <x:c r="D41" s="13"/>
      <x:c r="E41" s="13"/>
      <x:c r="F41" s="13"/>
      <x:c r="G41" s="2"/>
      <x:c r="H41" s="2"/>
      <x:c r="I41" s="2"/>
      <x:c r="J41" s="12"/>
      <x:c r="K41" s="12"/>
      <x:c r="L41" s="2"/>
      <x:c r="M41" s="2"/>
      <x:c r="N41" s="2"/>
      <x:c r="O41" s="13" t="n">
        <x:v>46287</x:v>
      </x:c>
      <x:c r="P41" s="2" t="str">
        <x:v>FR0000120321</x:v>
      </x:c>
      <x:c r="Q41" s="2" t="n">
        <x:v>270</x:v>
      </x:c>
      <x:c r="R41" s="2"/>
      <x:c r="S41" s="2"/>
      <x:c r="T41" s="2"/>
      <x:c r="U41" s="11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2"/>
      <x:c r="C42" s="2"/>
      <x:c r="D42" s="13"/>
      <x:c r="E42" s="13"/>
      <x:c r="F42" s="13"/>
      <x:c r="G42" s="2"/>
      <x:c r="H42" s="2"/>
      <x:c r="I42" s="2"/>
      <x:c r="J42" s="12"/>
      <x:c r="K42" s="12"/>
      <x:c r="L42" s="2"/>
      <x:c r="M42" s="2"/>
      <x:c r="N42" s="2"/>
      <x:c r="O42" s="13" t="n">
        <x:v>46288</x:v>
      </x:c>
      <x:c r="P42" s="2" t="str">
        <x:v>FR0000120073</x:v>
      </x:c>
      <x:c r="Q42" s="2" t="n">
        <x:v>690</x:v>
      </x:c>
      <x:c r="R42" s="2"/>
      <x:c r="S42" s="2"/>
      <x:c r="T42" s="2"/>
      <x:c r="U42" s="11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2"/>
      <x:c r="C43" s="2"/>
      <x:c r="D43" s="13"/>
      <x:c r="E43" s="13"/>
      <x:c r="F43" s="13"/>
      <x:c r="G43" s="2"/>
      <x:c r="H43" s="2"/>
      <x:c r="I43" s="2"/>
      <x:c r="J43" s="12"/>
      <x:c r="K43" s="12"/>
      <x:c r="L43" s="2"/>
      <x:c r="M43" s="2"/>
      <x:c r="N43" s="2"/>
      <x:c r="O43" s="13" t="n">
        <x:v>46288</x:v>
      </x:c>
      <x:c r="P43" s="2" t="str">
        <x:v>FR0000121972</x:v>
      </x:c>
      <x:c r="Q43" s="2" t="n">
        <x:v>410</x:v>
      </x:c>
      <x:c r="R43" s="2"/>
      <x:c r="S43" s="2"/>
      <x:c r="T43" s="2"/>
      <x:c r="U43" s="11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2"/>
      <x:c r="C44" s="2"/>
      <x:c r="D44" s="13"/>
      <x:c r="E44" s="13"/>
      <x:c r="F44" s="13"/>
      <x:c r="G44" s="2"/>
      <x:c r="H44" s="2"/>
      <x:c r="I44" s="2"/>
      <x:c r="J44" s="12"/>
      <x:c r="K44" s="12"/>
      <x:c r="L44" s="2"/>
      <x:c r="M44" s="2"/>
      <x:c r="N44" s="2"/>
      <x:c r="O44" s="13" t="n">
        <x:v>46288</x:v>
      </x:c>
      <x:c r="P44" s="2" t="str">
        <x:v>FR0000120644</x:v>
      </x:c>
      <x:c r="Q44" s="2" t="n">
        <x:v>1850</x:v>
      </x:c>
      <x:c r="R44" s="2"/>
      <x:c r="S44" s="2"/>
      <x:c r="T44" s="2"/>
      <x:c r="U44" s="11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2"/>
      <x:c r="C45" s="2"/>
      <x:c r="D45" s="13"/>
      <x:c r="E45" s="13"/>
      <x:c r="F45" s="13"/>
      <x:c r="G45" s="2"/>
      <x:c r="H45" s="2"/>
      <x:c r="I45" s="2"/>
      <x:c r="J45" s="12"/>
      <x:c r="K45" s="12"/>
      <x:c r="L45" s="2"/>
      <x:c r="M45" s="2"/>
      <x:c r="N45" s="2"/>
      <x:c r="O45" s="13" t="n">
        <x:v>46288</x:v>
      </x:c>
      <x:c r="P45" s="2" t="str">
        <x:v>FR0000125486</x:v>
      </x:c>
      <x:c r="Q45" s="2" t="n">
        <x:v>900</x:v>
      </x:c>
      <x:c r="R45" s="2"/>
      <x:c r="S45" s="2"/>
      <x:c r="T45" s="2"/>
      <x:c r="U45" s="11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2"/>
      <x:c r="C46" s="2"/>
      <x:c r="D46" s="13"/>
      <x:c r="E46" s="13"/>
      <x:c r="F46" s="13"/>
      <x:c r="G46" s="2"/>
      <x:c r="H46" s="2"/>
      <x:c r="I46" s="2"/>
      <x:c r="J46" s="12"/>
      <x:c r="K46" s="12"/>
      <x:c r="L46" s="2"/>
      <x:c r="M46" s="2"/>
      <x:c r="N46" s="2"/>
      <x:c r="O46" s="13" t="n">
        <x:v>46288</x:v>
      </x:c>
      <x:c r="P46" s="2" t="str">
        <x:v>FR0000120321</x:v>
      </x:c>
      <x:c r="Q46" s="2" t="n">
        <x:v>270</x:v>
      </x:c>
      <x:c r="R46" s="2"/>
      <x:c r="S46" s="2"/>
      <x:c r="T46" s="2"/>
      <x:c r="U46" s="11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2"/>
      <x:c r="C47" s="2"/>
      <x:c r="D47" s="13"/>
      <x:c r="E47" s="13"/>
      <x:c r="F47" s="13"/>
      <x:c r="G47" s="2"/>
      <x:c r="H47" s="2"/>
      <x:c r="I47" s="2"/>
      <x:c r="J47" s="12"/>
      <x:c r="K47" s="12"/>
      <x:c r="L47" s="2"/>
      <x:c r="M47" s="2"/>
      <x:c r="N47" s="2"/>
      <x:c r="O47" s="13" t="n">
        <x:v>46289</x:v>
      </x:c>
      <x:c r="P47" s="2" t="str">
        <x:v>FR0000120073</x:v>
      </x:c>
      <x:c r="Q47" s="2" t="n">
        <x:v>690</x:v>
      </x:c>
      <x:c r="R47" s="2"/>
      <x:c r="S47" s="2"/>
      <x:c r="T47" s="2"/>
      <x:c r="U47" s="11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2"/>
      <x:c r="C48" s="2"/>
      <x:c r="D48" s="13"/>
      <x:c r="E48" s="13"/>
      <x:c r="F48" s="13"/>
      <x:c r="G48" s="2"/>
      <x:c r="H48" s="2"/>
      <x:c r="I48" s="2"/>
      <x:c r="J48" s="12"/>
      <x:c r="K48" s="12"/>
      <x:c r="L48" s="2"/>
      <x:c r="M48" s="2"/>
      <x:c r="N48" s="2"/>
      <x:c r="O48" s="13" t="n">
        <x:v>46289</x:v>
      </x:c>
      <x:c r="P48" s="2" t="str">
        <x:v>FR0000121972</x:v>
      </x:c>
      <x:c r="Q48" s="2" t="n">
        <x:v>410</x:v>
      </x:c>
      <x:c r="R48" s="2"/>
      <x:c r="S48" s="2"/>
      <x:c r="T48" s="2"/>
      <x:c r="U48" s="11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2"/>
      <x:c r="C49" s="2"/>
      <x:c r="D49" s="13"/>
      <x:c r="E49" s="13"/>
      <x:c r="F49" s="13"/>
      <x:c r="G49" s="2"/>
      <x:c r="H49" s="2"/>
      <x:c r="I49" s="2"/>
      <x:c r="J49" s="12"/>
      <x:c r="K49" s="12"/>
      <x:c r="L49" s="2"/>
      <x:c r="M49" s="2"/>
      <x:c r="N49" s="2"/>
      <x:c r="O49" s="13" t="n">
        <x:v>46289</x:v>
      </x:c>
      <x:c r="P49" s="2" t="str">
        <x:v>FR0000120644</x:v>
      </x:c>
      <x:c r="Q49" s="2" t="n">
        <x:v>1850</x:v>
      </x:c>
      <x:c r="R49" s="2"/>
      <x:c r="S49" s="2"/>
      <x:c r="T49" s="2"/>
      <x:c r="U49" s="11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2"/>
      <x:c r="C50" s="2"/>
      <x:c r="D50" s="13"/>
      <x:c r="E50" s="13"/>
      <x:c r="F50" s="13"/>
      <x:c r="G50" s="2"/>
      <x:c r="H50" s="2"/>
      <x:c r="I50" s="2"/>
      <x:c r="J50" s="12"/>
      <x:c r="K50" s="12"/>
      <x:c r="L50" s="2"/>
      <x:c r="M50" s="2"/>
      <x:c r="N50" s="2"/>
      <x:c r="O50" s="13" t="n">
        <x:v>46289</x:v>
      </x:c>
      <x:c r="P50" s="2" t="str">
        <x:v>FR0000125486</x:v>
      </x:c>
      <x:c r="Q50" s="2" t="n">
        <x:v>850</x:v>
      </x:c>
      <x:c r="R50" s="2"/>
      <x:c r="S50" s="2"/>
      <x:c r="T50" s="2"/>
      <x:c r="U50" s="11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2"/>
      <x:c r="C51" s="2"/>
      <x:c r="D51" s="13"/>
      <x:c r="E51" s="13"/>
      <x:c r="F51" s="13"/>
      <x:c r="G51" s="2"/>
      <x:c r="H51" s="2"/>
      <x:c r="I51" s="2"/>
      <x:c r="J51" s="12"/>
      <x:c r="K51" s="12"/>
      <x:c r="L51" s="2"/>
      <x:c r="M51" s="2"/>
      <x:c r="N51" s="2"/>
      <x:c r="O51" s="13" t="n">
        <x:v>46289</x:v>
      </x:c>
      <x:c r="P51" s="2" t="str">
        <x:v>FR0000120321</x:v>
      </x:c>
      <x:c r="Q51" s="2" t="n">
        <x:v>290</x:v>
      </x:c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2"/>
      <x:c r="C52" s="2"/>
      <x:c r="D52" s="13"/>
      <x:c r="E52" s="13"/>
      <x:c r="F52" s="13"/>
      <x:c r="G52" s="2"/>
      <x:c r="H52" s="2"/>
      <x:c r="I52" s="2"/>
      <x:c r="J52" s="12"/>
      <x:c r="K52" s="12"/>
      <x:c r="L52" s="2"/>
      <x:c r="M52" s="2"/>
      <x:c r="N52" s="2"/>
      <x:c r="O52" s="13" t="n">
        <x:v>46290</x:v>
      </x:c>
      <x:c r="P52" s="2" t="str">
        <x:v>FR0000120073</x:v>
      </x:c>
      <x:c r="Q52" s="2" t="n">
        <x:v>720</x:v>
      </x:c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2"/>
      <x:c r="C53" s="2"/>
      <x:c r="D53" s="13"/>
      <x:c r="E53" s="13"/>
      <x:c r="F53" s="13"/>
      <x:c r="G53" s="2"/>
      <x:c r="H53" s="2"/>
      <x:c r="I53" s="2"/>
      <x:c r="J53" s="12"/>
      <x:c r="K53" s="12"/>
      <x:c r="L53" s="2"/>
      <x:c r="M53" s="2"/>
      <x:c r="N53" s="2"/>
      <x:c r="O53" s="13" t="n">
        <x:v>46290</x:v>
      </x:c>
      <x:c r="P53" s="2" t="str">
        <x:v>FR0000121972</x:v>
      </x:c>
      <x:c r="Q53" s="2" t="n">
        <x:v>450</x:v>
      </x:c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2"/>
      <x:c r="C54" s="2"/>
      <x:c r="D54" s="13"/>
      <x:c r="E54" s="13"/>
      <x:c r="F54" s="13"/>
      <x:c r="G54" s="2"/>
      <x:c r="H54" s="2"/>
      <x:c r="I54" s="2"/>
      <x:c r="J54" s="12"/>
      <x:c r="K54" s="12"/>
      <x:c r="L54" s="2"/>
      <x:c r="M54" s="2"/>
      <x:c r="N54" s="2"/>
      <x:c r="O54" s="13" t="n">
        <x:v>46290</x:v>
      </x:c>
      <x:c r="P54" s="2" t="str">
        <x:v>FR0000120644</x:v>
      </x:c>
      <x:c r="Q54" s="2" t="n">
        <x:v>1775</x:v>
      </x:c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2"/>
      <x:c r="C55" s="2"/>
      <x:c r="D55" s="13"/>
      <x:c r="E55" s="13"/>
      <x:c r="F55" s="13"/>
      <x:c r="G55" s="2"/>
      <x:c r="H55" s="2"/>
      <x:c r="I55" s="2"/>
      <x:c r="J55" s="12"/>
      <x:c r="K55" s="12"/>
      <x:c r="L55" s="2"/>
      <x:c r="M55" s="2"/>
      <x:c r="N55" s="2"/>
      <x:c r="O55" s="13" t="n">
        <x:v>46290</x:v>
      </x:c>
      <x:c r="P55" s="2" t="str">
        <x:v>FR0000125486</x:v>
      </x:c>
      <x:c r="Q55" s="2" t="n">
        <x:v>850</x:v>
      </x:c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2"/>
      <x:c r="C56" s="2"/>
      <x:c r="D56" s="13"/>
      <x:c r="E56" s="13"/>
      <x:c r="F56" s="13"/>
      <x:c r="G56" s="2"/>
      <x:c r="H56" s="2"/>
      <x:c r="I56" s="2"/>
      <x:c r="J56" s="12"/>
      <x:c r="K56" s="12"/>
      <x:c r="L56" s="2"/>
      <x:c r="M56" s="2"/>
      <x:c r="N56" s="2"/>
      <x:c r="O56" s="13" t="n">
        <x:v>46290</x:v>
      </x:c>
      <x:c r="P56" s="2" t="str">
        <x:v>FR0000120321</x:v>
      </x:c>
      <x:c r="Q56" s="2" t="n">
        <x:v>290</x:v>
      </x:c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2"/>
      <x:c r="C57" s="2"/>
      <x:c r="D57" s="13"/>
      <x:c r="E57" s="13"/>
      <x:c r="F57" s="13"/>
      <x:c r="G57" s="2"/>
      <x:c r="H57" s="2"/>
      <x:c r="I57" s="2"/>
      <x:c r="J57" s="12"/>
      <x:c r="K57" s="12"/>
      <x:c r="L57" s="2"/>
      <x:c r="M57" s="2"/>
      <x:c r="N57" s="2"/>
      <x:c r="O57" s="1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2"/>
      <x:c r="C58" s="2"/>
      <x:c r="D58" s="13"/>
      <x:c r="E58" s="13"/>
      <x:c r="F58" s="13"/>
      <x:c r="G58" s="2"/>
      <x:c r="H58" s="2"/>
      <x:c r="I58" s="2"/>
      <x:c r="J58" s="12"/>
      <x:c r="K58" s="12"/>
      <x:c r="L58" s="2"/>
      <x:c r="M58" s="2"/>
      <x:c r="N58" s="2"/>
      <x:c r="O58" s="1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2"/>
      <x:c r="C59" s="2"/>
      <x:c r="D59" s="13"/>
      <x:c r="E59" s="13"/>
      <x:c r="F59" s="13"/>
      <x:c r="G59" s="2"/>
      <x:c r="H59" s="2"/>
      <x:c r="I59" s="2"/>
      <x:c r="J59" s="12"/>
      <x:c r="K59" s="12"/>
      <x:c r="L59" s="2"/>
      <x:c r="M59" s="2"/>
      <x:c r="N59" s="2"/>
      <x:c r="O59" s="1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2"/>
      <x:c r="C60" s="2"/>
      <x:c r="D60" s="13"/>
      <x:c r="E60" s="13"/>
      <x:c r="F60" s="13"/>
      <x:c r="G60" s="2"/>
      <x:c r="H60" s="2"/>
      <x:c r="I60" s="2"/>
      <x:c r="J60" s="12"/>
      <x:c r="K60" s="12"/>
      <x:c r="L60" s="2"/>
      <x:c r="M60" s="2"/>
      <x:c r="N60" s="2"/>
      <x:c r="O60" s="13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2"/>
      <x:c r="C61" s="2"/>
      <x:c r="D61" s="13"/>
      <x:c r="E61" s="13"/>
      <x:c r="F61" s="13"/>
      <x:c r="G61" s="2"/>
      <x:c r="H61" s="2"/>
      <x:c r="I61" s="2"/>
      <x:c r="J61" s="12"/>
      <x:c r="K61" s="12"/>
      <x:c r="L61" s="2"/>
      <x:c r="M61" s="2"/>
      <x:c r="N61" s="2"/>
      <x:c r="O61" s="1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2"/>
      <x:c r="C62" s="2"/>
      <x:c r="D62" s="13"/>
      <x:c r="E62" s="13"/>
      <x:c r="F62" s="13"/>
      <x:c r="G62" s="2"/>
      <x:c r="H62" s="2"/>
      <x:c r="I62" s="2"/>
      <x:c r="J62" s="12"/>
      <x:c r="K62" s="12"/>
      <x:c r="L62" s="2"/>
      <x:c r="M62" s="2"/>
      <x:c r="N62" s="2"/>
      <x:c r="O62" s="1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2"/>
      <x:c r="C63" s="2"/>
      <x:c r="D63" s="13"/>
      <x:c r="E63" s="13"/>
      <x:c r="F63" s="13"/>
      <x:c r="G63" s="2"/>
      <x:c r="H63" s="2"/>
      <x:c r="I63" s="2"/>
      <x:c r="J63" s="12"/>
      <x:c r="K63" s="12"/>
      <x:c r="L63" s="2"/>
      <x:c r="M63" s="2"/>
      <x:c r="N63" s="2"/>
      <x:c r="O63" s="1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2"/>
      <x:c r="C64" s="2"/>
      <x:c r="D64" s="13"/>
      <x:c r="E64" s="13"/>
      <x:c r="F64" s="13"/>
      <x:c r="G64" s="2"/>
      <x:c r="H64" s="2"/>
      <x:c r="I64" s="2"/>
      <x:c r="J64" s="12"/>
      <x:c r="K64" s="12"/>
      <x:c r="L64" s="2"/>
      <x:c r="M64" s="2"/>
      <x:c r="N64" s="2"/>
      <x:c r="O64" s="1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2"/>
      <x:c r="C65" s="2"/>
      <x:c r="D65" s="13"/>
      <x:c r="E65" s="13"/>
      <x:c r="F65" s="13"/>
      <x:c r="G65" s="2"/>
      <x:c r="H65" s="2"/>
      <x:c r="I65" s="2"/>
      <x:c r="J65" s="12"/>
      <x:c r="K65" s="12"/>
      <x:c r="L65" s="2"/>
      <x:c r="M65" s="2"/>
      <x:c r="N65" s="2"/>
      <x:c r="O65" s="1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2"/>
      <x:c r="C66" s="2"/>
      <x:c r="D66" s="13"/>
      <x:c r="E66" s="13"/>
      <x:c r="F66" s="13"/>
      <x:c r="G66" s="2"/>
      <x:c r="H66" s="2"/>
      <x:c r="I66" s="2"/>
      <x:c r="J66" s="12"/>
      <x:c r="K66" s="12"/>
      <x:c r="L66" s="2"/>
      <x:c r="M66" s="2"/>
      <x:c r="N66" s="2"/>
      <x:c r="O66" s="1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1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1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1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1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1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1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1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1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1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1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1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1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1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1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1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1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1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1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1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1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1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1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1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13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1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1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1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1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1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1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1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1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1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1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1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1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1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1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1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1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pageMargins left="0.7" right="0.7" top="0.75" bottom="0.75" header="0.3" footer="0.3"/>
  <x:tableParts count="5">
    <x:tablePart xmlns:r="http://schemas.openxmlformats.org/officeDocument/2006/relationships" r:id="R1391ae972ce34682"/>
    <x:tablePart xmlns:r="http://schemas.openxmlformats.org/officeDocument/2006/relationships" r:id="R2b48d1ef6f5447e3"/>
    <x:tablePart xmlns:r="http://schemas.openxmlformats.org/officeDocument/2006/relationships" r:id="Rb7f4c6c74d34492a"/>
    <x:tablePart xmlns:r="http://schemas.openxmlformats.org/officeDocument/2006/relationships" r:id="Rf15fd267a1664fe8"/>
    <x:tablePart xmlns:r="http://schemas.openxmlformats.org/officeDocument/2006/relationships" r:id="R2a0ffef2a3344dc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2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34" hidden="0" customWidth="1"/>
    <x:col min="20" max="20" width="3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Marché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10" t="str">
        <x:v>Cours de clôture fictifs et prix d’exécution simulés.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PriceID</x:v>
      </x:c>
      <x:c r="C6" s="8" t="str">
        <x:v>DateValorisation</x:v>
      </x:c>
      <x:c r="D6" s="8" t="str">
        <x:v>ISIN</x:v>
      </x:c>
      <x:c r="E6" s="8" t="str">
        <x:v>CoursEUR</x:v>
      </x:c>
      <x:c r="F6" s="8" t="str">
        <x:v>DateCours</x:v>
      </x:c>
      <x:c r="G6" s="8" t="str">
        <x:v>Devise</x:v>
      </x:c>
      <x:c r="H6" s="2"/>
      <x:c r="I6" s="2"/>
      <x:c r="J6" s="8" t="str">
        <x:v>ISIN</x:v>
      </x:c>
      <x:c r="K6" s="8" t="str">
        <x:v>Libelle</x:v>
      </x:c>
      <x:c r="L6" s="8" t="str">
        <x:v>Ticker</x:v>
      </x:c>
      <x:c r="M6" s="8" t="str">
        <x:v>Devise</x:v>
      </x:c>
      <x:c r="N6" s="8" t="str">
        <x:v>Marche</x:v>
      </x:c>
      <x:c r="O6" s="2"/>
      <x:c r="P6" s="8" t="str">
        <x:v>Date</x:v>
      </x:c>
      <x:c r="Q6" s="2"/>
      <x:c r="R6" s="8" t="str">
        <x:v>Source</x:v>
      </x:c>
      <x:c r="S6" s="8" t="str">
        <x:v>Perimetre</x:v>
      </x:c>
      <x:c r="T6" s="8" t="str">
        <x:v>URL</x:v>
      </x:c>
      <x:c r="U6" s="2"/>
      <x:c r="V6" s="2"/>
      <x:c r="W6" s="2"/>
      <x:c r="X6" s="2"/>
      <x:c r="Y6" s="2"/>
      <x:c r="Z6" s="2"/>
      <x:c r="AA6" s="2"/>
      <x:c r="AB6" s="2"/>
    </x:row>
    <x:row r="7" ht="20" customHeight="1">
      <x:c r="A7" s="2"/>
      <x:c r="B7" s="2" t="str">
        <x:v>FR0000120073_2026-09-14</x:v>
      </x:c>
      <x:c r="C7" s="13" t="n">
        <x:v>46279</x:v>
      </x:c>
      <x:c r="D7" s="2" t="str">
        <x:v>FR0000120073</x:v>
      </x:c>
      <x:c r="E7" s="12" t="n">
        <x:v>164.65</x:v>
      </x:c>
      <x:c r="F7" s="13" t="n">
        <x:v>46279</x:v>
      </x:c>
      <x:c r="G7" s="2" t="str">
        <x:v>EUR</x:v>
      </x:c>
      <x:c r="H7" s="2"/>
      <x:c r="I7" s="2"/>
      <x:c r="J7" s="2" t="str">
        <x:v>FR0000120073</x:v>
      </x:c>
      <x:c r="K7" s="2" t="str">
        <x:v>Air Liquide</x:v>
      </x:c>
      <x:c r="L7" s="2" t="str">
        <x:v>AI</x:v>
      </x:c>
      <x:c r="M7" s="2" t="str">
        <x:v>EUR</x:v>
      </x:c>
      <x:c r="N7" s="2" t="str">
        <x:v>XPAR</x:v>
      </x:c>
      <x:c r="O7" s="2"/>
      <x:c r="P7" s="11" t="n">
        <x:v>46279</x:v>
      </x:c>
      <x:c r="Q7" s="2"/>
      <x:c r="R7" s="2" t="str">
        <x:v>Cours fictifs déterministes</x:v>
      </x:c>
      <x:c r="S7" s="2" t="str">
        <x:v>FR0000120073</x:v>
      </x:c>
      <x:c r="T7" s="2" t="str">
        <x:v>Aucune source de marché externe</x:v>
      </x:c>
      <x:c r="U7" s="2"/>
      <x:c r="V7" s="2"/>
      <x:c r="W7" s="2"/>
      <x:c r="X7" s="2"/>
      <x:c r="Y7" s="2"/>
      <x:c r="Z7" s="2"/>
      <x:c r="AA7" s="2"/>
      <x:c r="AB7" s="2"/>
    </x:row>
    <x:row r="8" ht="20" customHeight="1">
      <x:c r="A8" s="2"/>
      <x:c r="B8" s="2" t="str">
        <x:v>FR0000120321_2026-09-14</x:v>
      </x:c>
      <x:c r="C8" s="13" t="n">
        <x:v>46279</x:v>
      </x:c>
      <x:c r="D8" s="2" t="str">
        <x:v>FR0000120321</x:v>
      </x:c>
      <x:c r="E8" s="12" t="n">
        <x:v>385.35</x:v>
      </x:c>
      <x:c r="F8" s="13" t="n">
        <x:v>46279</x:v>
      </x:c>
      <x:c r="G8" s="2" t="str">
        <x:v>EUR</x:v>
      </x:c>
      <x:c r="H8" s="2"/>
      <x:c r="I8" s="2"/>
      <x:c r="J8" s="2" t="str">
        <x:v>FR0000121972</x:v>
      </x:c>
      <x:c r="K8" s="2" t="str">
        <x:v>Schneider Electric</x:v>
      </x:c>
      <x:c r="L8" s="2" t="str">
        <x:v>SU</x:v>
      </x:c>
      <x:c r="M8" s="2" t="str">
        <x:v>EUR</x:v>
      </x:c>
      <x:c r="N8" s="2" t="str">
        <x:v>XPAR</x:v>
      </x:c>
      <x:c r="O8" s="2"/>
      <x:c r="P8" s="11" t="n">
        <x:v>46280</x:v>
      </x:c>
      <x:c r="Q8" s="2"/>
      <x:c r="R8" s="2" t="str">
        <x:v>Cours fictifs déterministes</x:v>
      </x:c>
      <x:c r="S8" s="2" t="str">
        <x:v>FR0000121972</x:v>
      </x:c>
      <x:c r="T8" s="2" t="str">
        <x:v>Aucune source de marché externe</x:v>
      </x:c>
      <x:c r="U8" s="2"/>
      <x:c r="V8" s="2"/>
      <x:c r="W8" s="2"/>
      <x:c r="X8" s="2"/>
      <x:c r="Y8" s="2"/>
      <x:c r="Z8" s="2"/>
      <x:c r="AA8" s="2"/>
      <x:c r="AB8" s="2"/>
    </x:row>
    <x:row r="9" ht="20" customHeight="1">
      <x:c r="A9" s="2"/>
      <x:c r="B9" s="2" t="str">
        <x:v>FR0000120644_2026-09-14</x:v>
      </x:c>
      <x:c r="C9" s="13" t="n">
        <x:v>46279</x:v>
      </x:c>
      <x:c r="D9" s="2" t="str">
        <x:v>FR0000120644</x:v>
      </x:c>
      <x:c r="E9" s="12" t="n">
        <x:v>60</x:v>
      </x:c>
      <x:c r="F9" s="13" t="n">
        <x:v>46279</x:v>
      </x:c>
      <x:c r="G9" s="2" t="str">
        <x:v>EUR</x:v>
      </x:c>
      <x:c r="H9" s="2"/>
      <x:c r="I9" s="2"/>
      <x:c r="J9" s="2" t="str">
        <x:v>FR0000120644</x:v>
      </x:c>
      <x:c r="K9" s="2" t="str">
        <x:v>Danone</x:v>
      </x:c>
      <x:c r="L9" s="2" t="str">
        <x:v>BN</x:v>
      </x:c>
      <x:c r="M9" s="2" t="str">
        <x:v>EUR</x:v>
      </x:c>
      <x:c r="N9" s="2" t="str">
        <x:v>XPAR</x:v>
      </x:c>
      <x:c r="O9" s="2"/>
      <x:c r="P9" s="11" t="n">
        <x:v>46281</x:v>
      </x:c>
      <x:c r="Q9" s="2"/>
      <x:c r="R9" s="2" t="str">
        <x:v>Cours fictifs déterministes</x:v>
      </x:c>
      <x:c r="S9" s="2" t="str">
        <x:v>FR0000120644</x:v>
      </x:c>
      <x:c r="T9" s="2" t="str">
        <x:v>Aucune source de marché externe</x:v>
      </x:c>
      <x:c r="U9" s="2"/>
      <x:c r="V9" s="2"/>
      <x:c r="W9" s="2"/>
      <x:c r="X9" s="2"/>
      <x:c r="Y9" s="2"/>
      <x:c r="Z9" s="2"/>
      <x:c r="AA9" s="2"/>
      <x:c r="AB9" s="2"/>
    </x:row>
    <x:row r="10" ht="20" customHeight="1">
      <x:c r="A10" s="2"/>
      <x:c r="B10" s="2" t="str">
        <x:v>FR0000121972_2026-09-14</x:v>
      </x:c>
      <x:c r="C10" s="13" t="n">
        <x:v>46279</x:v>
      </x:c>
      <x:c r="D10" s="2" t="str">
        <x:v>FR0000121972</x:v>
      </x:c>
      <x:c r="E10" s="12" t="n">
        <x:v>210.35</x:v>
      </x:c>
      <x:c r="F10" s="13" t="n">
        <x:v>46279</x:v>
      </x:c>
      <x:c r="G10" s="2" t="str">
        <x:v>EUR</x:v>
      </x:c>
      <x:c r="H10" s="2"/>
      <x:c r="I10" s="2"/>
      <x:c r="J10" s="2" t="str">
        <x:v>FR0000125486</x:v>
      </x:c>
      <x:c r="K10" s="2" t="str">
        <x:v>Vinci</x:v>
      </x:c>
      <x:c r="L10" s="2" t="str">
        <x:v>DG</x:v>
      </x:c>
      <x:c r="M10" s="2" t="str">
        <x:v>EUR</x:v>
      </x:c>
      <x:c r="N10" s="2" t="str">
        <x:v>XPAR</x:v>
      </x:c>
      <x:c r="O10" s="2"/>
      <x:c r="P10" s="11" t="n">
        <x:v>46282</x:v>
      </x:c>
      <x:c r="Q10" s="2"/>
      <x:c r="R10" s="2" t="str">
        <x:v>Cours fictifs déterministes</x:v>
      </x:c>
      <x:c r="S10" s="2" t="str">
        <x:v>FR0000125486</x:v>
      </x:c>
      <x:c r="T10" s="2" t="str">
        <x:v>Aucune source de marché externe</x:v>
      </x:c>
      <x:c r="U10" s="2"/>
      <x:c r="V10" s="2"/>
      <x:c r="W10" s="2"/>
      <x:c r="X10" s="2"/>
      <x:c r="Y10" s="2"/>
      <x:c r="Z10" s="2"/>
      <x:c r="AA10" s="2"/>
      <x:c r="AB10" s="2"/>
    </x:row>
    <x:row r="11" ht="20" customHeight="1">
      <x:c r="A11" s="2"/>
      <x:c r="B11" s="2" t="str">
        <x:v>FR0000125486_2026-09-14</x:v>
      </x:c>
      <x:c r="C11" s="13" t="n">
        <x:v>46279</x:v>
      </x:c>
      <x:c r="D11" s="2" t="str">
        <x:v>FR0000125486</x:v>
      </x:c>
      <x:c r="E11" s="12" t="n">
        <x:v>114.65</x:v>
      </x:c>
      <x:c r="F11" s="13" t="n">
        <x:v>46279</x:v>
      </x:c>
      <x:c r="G11" s="2" t="str">
        <x:v>EUR</x:v>
      </x:c>
      <x:c r="H11" s="2"/>
      <x:c r="I11" s="2"/>
      <x:c r="J11" s="2" t="str">
        <x:v>FR0000120321</x:v>
      </x:c>
      <x:c r="K11" s="2" t="str">
        <x:v>L'Oréal</x:v>
      </x:c>
      <x:c r="L11" s="2" t="str">
        <x:v>OR</x:v>
      </x:c>
      <x:c r="M11" s="2" t="str">
        <x:v>EUR</x:v>
      </x:c>
      <x:c r="N11" s="2" t="str">
        <x:v>XPAR</x:v>
      </x:c>
      <x:c r="O11" s="2"/>
      <x:c r="P11" s="11" t="n">
        <x:v>46283</x:v>
      </x:c>
      <x:c r="Q11" s="2"/>
      <x:c r="R11" s="2" t="str">
        <x:v>Cours fictifs déterministes</x:v>
      </x:c>
      <x:c r="S11" s="2" t="str">
        <x:v>FR0000120321</x:v>
      </x:c>
      <x:c r="T11" s="2" t="str">
        <x:v>Aucune source de marché externe</x:v>
      </x:c>
      <x:c r="U11" s="2"/>
      <x:c r="V11" s="2"/>
      <x:c r="W11" s="2"/>
      <x:c r="X11" s="2"/>
      <x:c r="Y11" s="2"/>
      <x:c r="Z11" s="2"/>
      <x:c r="AA11" s="2"/>
      <x:c r="AB11" s="2"/>
    </x:row>
    <x:row r="12" ht="20" customHeight="1">
      <x:c r="A12" s="2"/>
      <x:c r="B12" s="2" t="str">
        <x:v>FR0000120073_2026-09-15</x:v>
      </x:c>
      <x:c r="C12" s="13" t="n">
        <x:v>46280</x:v>
      </x:c>
      <x:c r="D12" s="2" t="str">
        <x:v>FR0000120073</x:v>
      </x:c>
      <x:c r="E12" s="12" t="n">
        <x:v>165.28</x:v>
      </x:c>
      <x:c r="F12" s="13" t="n">
        <x:v>46280</x:v>
      </x:c>
      <x:c r="G12" s="2" t="str">
        <x:v>EUR</x:v>
      </x:c>
      <x:c r="H12" s="2"/>
      <x:c r="I12" s="2"/>
      <x:c r="J12" s="2"/>
      <x:c r="K12" s="2"/>
      <x:c r="L12" s="2"/>
      <x:c r="M12" s="2"/>
      <x:c r="N12" s="2"/>
      <x:c r="O12" s="2"/>
      <x:c r="P12" s="11" t="n">
        <x:v>46286</x:v>
      </x:c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0" customHeight="1">
      <x:c r="A13" s="2"/>
      <x:c r="B13" s="2" t="str">
        <x:v>FR0000120321_2026-09-15</x:v>
      </x:c>
      <x:c r="C13" s="13" t="n">
        <x:v>46280</x:v>
      </x:c>
      <x:c r="D13" s="2" t="str">
        <x:v>FR0000120321</x:v>
      </x:c>
      <x:c r="E13" s="12" t="n">
        <x:v>384.19</x:v>
      </x:c>
      <x:c r="F13" s="13" t="n">
        <x:v>46280</x:v>
      </x:c>
      <x:c r="G13" s="2" t="str">
        <x:v>EUR</x:v>
      </x:c>
      <x:c r="H13" s="2"/>
      <x:c r="I13" s="2"/>
      <x:c r="J13" s="2"/>
      <x:c r="K13" s="2"/>
      <x:c r="L13" s="2"/>
      <x:c r="M13" s="2"/>
      <x:c r="N13" s="2"/>
      <x:c r="O13" s="2"/>
      <x:c r="P13" s="11" t="n">
        <x:v>46287</x:v>
      </x:c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0" customHeight="1">
      <x:c r="A14" s="2"/>
      <x:c r="B14" s="2" t="str">
        <x:v>FR0000120644_2026-09-15</x:v>
      </x:c>
      <x:c r="C14" s="13" t="n">
        <x:v>46280</x:v>
      </x:c>
      <x:c r="D14" s="2" t="str">
        <x:v>FR0000120644</x:v>
      </x:c>
      <x:c r="E14" s="12" t="n">
        <x:v>60.47</x:v>
      </x:c>
      <x:c r="F14" s="13" t="n">
        <x:v>46280</x:v>
      </x:c>
      <x:c r="G14" s="2" t="str">
        <x:v>EUR</x:v>
      </x:c>
      <x:c r="H14" s="2"/>
      <x:c r="I14" s="2"/>
      <x:c r="J14" s="2"/>
      <x:c r="K14" s="2"/>
      <x:c r="L14" s="2"/>
      <x:c r="M14" s="2"/>
      <x:c r="N14" s="2"/>
      <x:c r="O14" s="2"/>
      <x:c r="P14" s="11" t="n">
        <x:v>46288</x:v>
      </x:c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0" customHeight="1">
      <x:c r="A15" s="2"/>
      <x:c r="B15" s="2" t="str">
        <x:v>FR0000121972_2026-09-15</x:v>
      </x:c>
      <x:c r="C15" s="13" t="n">
        <x:v>46280</x:v>
      </x:c>
      <x:c r="D15" s="2" t="str">
        <x:v>FR0000121972</x:v>
      </x:c>
      <x:c r="E15" s="12" t="n">
        <x:v>209.31</x:v>
      </x:c>
      <x:c r="F15" s="13" t="n">
        <x:v>46280</x:v>
      </x:c>
      <x:c r="G15" s="2" t="str">
        <x:v>EUR</x:v>
      </x:c>
      <x:c r="H15" s="2"/>
      <x:c r="I15" s="2"/>
      <x:c r="J15" s="9" t="str">
        <x:v>Vérification des événements sur titres</x:v>
      </x:c>
      <x:c r="K15" s="2"/>
      <x:c r="L15" s="2"/>
      <x:c r="M15" s="2"/>
      <x:c r="N15" s="2"/>
      <x:c r="O15" s="2"/>
      <x:c r="P15" s="11" t="n">
        <x:v>46289</x:v>
      </x:c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0" customHeight="1">
      <x:c r="A16" s="2"/>
      <x:c r="B16" s="2" t="str">
        <x:v>FR0000125486_2026-09-15</x:v>
      </x:c>
      <x:c r="C16" s="13" t="n">
        <x:v>46280</x:v>
      </x:c>
      <x:c r="D16" s="2" t="str">
        <x:v>FR0000125486</x:v>
      </x:c>
      <x:c r="E16" s="12" t="n">
        <x:v>115.22</x:v>
      </x:c>
      <x:c r="F16" s="13" t="n">
        <x:v>46280</x:v>
      </x:c>
      <x:c r="G16" s="2" t="str">
        <x:v>EUR</x:v>
      </x:c>
      <x:c r="H16" s="2"/>
      <x:c r="I16" s="2"/>
      <x:c r="J16" s="2"/>
      <x:c r="K16" s="2"/>
      <x:c r="L16" s="2"/>
      <x:c r="M16" s="2"/>
      <x:c r="N16" s="2"/>
      <x:c r="O16" s="2"/>
      <x:c r="P16" s="11" t="n">
        <x:v>46290</x:v>
      </x:c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0" customHeight="1">
      <x:c r="A17" s="2"/>
      <x:c r="B17" s="2" t="str">
        <x:v>FR0000120073_2026-09-16</x:v>
      </x:c>
      <x:c r="C17" s="13" t="n">
        <x:v>46281</x:v>
      </x:c>
      <x:c r="D17" s="2" t="str">
        <x:v>FR0000120073</x:v>
      </x:c>
      <x:c r="E17" s="12" t="n">
        <x:v>165.91</x:v>
      </x:c>
      <x:c r="F17" s="13" t="n">
        <x:v>46281</x:v>
      </x:c>
      <x:c r="G17" s="2" t="str">
        <x:v>EUR</x:v>
      </x:c>
      <x:c r="H17" s="2"/>
      <x:c r="I17" s="2"/>
      <x:c r="J17" s="2" t="str">
        <x:v>Titre</x:v>
      </x:c>
      <x:c r="K17" s="2" t="str">
        <x:v>Événement vérifié</x:v>
      </x:c>
      <x:c r="L17" s="2" t="str">
        <x:v>Source</x:v>
      </x:c>
      <x:c r="M17" s="2"/>
      <x:c r="N17" s="2"/>
      <x:c r="O17" s="2"/>
      <x:c r="P17" s="11" t="n">
        <x:v>46293</x:v>
      </x:c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0" customHeight="1">
      <x:c r="A18" s="2"/>
      <x:c r="B18" s="2" t="str">
        <x:v>FR0000120321_2026-09-16</x:v>
      </x:c>
      <x:c r="C18" s="13" t="n">
        <x:v>46281</x:v>
      </x:c>
      <x:c r="D18" s="2" t="str">
        <x:v>FR0000120321</x:v>
      </x:c>
      <x:c r="E18" s="12" t="n">
        <x:v>384.08</x:v>
      </x:c>
      <x:c r="F18" s="13" t="n">
        <x:v>46281</x:v>
      </x:c>
      <x:c r="G18" s="2" t="str">
        <x:v>EUR</x:v>
      </x:c>
      <x:c r="H18" s="2"/>
      <x:c r="I18" s="2"/>
      <x:c r="J18" s="2" t="str">
        <x:v>Air Liquide</x:v>
      </x:c>
      <x:c r="K18" s="2" t="str">
        <x:v>Dividende 18/05/2026 et attribution gratuite 10/06/2026, hors période</x:v>
      </x:c>
      <x:c r="L18" s="2" t="str">
        <x:v>https://www.airliquide.com/group/press-releases-news/2026-05-05/combined-general-meeting-air-liquide-shareholders-may-5-2026</x:v>
      </x:c>
      <x:c r="M18" s="2"/>
      <x:c r="N18" s="2"/>
      <x:c r="O18" s="2"/>
      <x:c r="P18" s="11" t="n">
        <x:v>46294</x:v>
      </x:c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0" customHeight="1">
      <x:c r="A19" s="2"/>
      <x:c r="B19" s="2" t="str">
        <x:v>FR0000120644_2026-09-16</x:v>
      </x:c>
      <x:c r="C19" s="13" t="n">
        <x:v>46281</x:v>
      </x:c>
      <x:c r="D19" s="2" t="str">
        <x:v>FR0000120644</x:v>
      </x:c>
      <x:c r="E19" s="12" t="n">
        <x:v>59.89</x:v>
      </x:c>
      <x:c r="F19" s="13" t="n">
        <x:v>46281</x:v>
      </x:c>
      <x:c r="G19" s="2" t="str">
        <x:v>EUR</x:v>
      </x:c>
      <x:c r="H19" s="2"/>
      <x:c r="I19" s="2"/>
      <x:c r="J19" s="2" t="str">
        <x:v>Schneider Electric</x:v>
      </x:c>
      <x:c r="K19" s="2" t="str">
        <x:v>Détachement du dividende 11/05/2026, hors période</x:v>
      </x:c>
      <x:c r="L19" s="2" t="str">
        <x:v>https://www.se.com/ww/en/about-us/investor-relations/share-information/dividend/</x:v>
      </x:c>
      <x:c r="M19" s="2"/>
      <x:c r="N19" s="2"/>
      <x:c r="O19" s="2"/>
      <x:c r="P19" s="11" t="n">
        <x:v>46295</x:v>
      </x:c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0" customHeight="1">
      <x:c r="A20" s="2"/>
      <x:c r="B20" s="2" t="str">
        <x:v>FR0000121972_2026-09-16</x:v>
      </x:c>
      <x:c r="C20" s="13" t="n">
        <x:v>46281</x:v>
      </x:c>
      <x:c r="D20" s="2" t="str">
        <x:v>FR0000121972</x:v>
      </x:c>
      <x:c r="E20" s="12" t="n">
        <x:v>209.32</x:v>
      </x:c>
      <x:c r="F20" s="13" t="n">
        <x:v>46281</x:v>
      </x:c>
      <x:c r="G20" s="2" t="str">
        <x:v>EUR</x:v>
      </x:c>
      <x:c r="H20" s="2"/>
      <x:c r="I20" s="2"/>
      <x:c r="J20" s="2" t="str">
        <x:v>Danone</x:v>
      </x:c>
      <x:c r="K20" s="2" t="str">
        <x:v>Détachement du dividende 04/05/2026, hors période</x:v>
      </x:c>
      <x:c r="L20" s="2" t="str">
        <x:v>https://www.danone.com/newsroom/press-releases/press-release-detail/danone-shareholders-meeting-2026.html</x:v>
      </x:c>
      <x:c r="M20" s="2"/>
      <x:c r="N20" s="2"/>
      <x:c r="O20" s="2"/>
      <x:c r="P20" s="11" t="n">
        <x:v>46296</x:v>
      </x:c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0" customHeight="1">
      <x:c r="A21" s="2"/>
      <x:c r="B21" s="2" t="str">
        <x:v>FR0000125486_2026-09-16</x:v>
      </x:c>
      <x:c r="C21" s="13" t="n">
        <x:v>46281</x:v>
      </x:c>
      <x:c r="D21" s="2" t="str">
        <x:v>FR0000125486</x:v>
      </x:c>
      <x:c r="E21" s="12" t="n">
        <x:v>115.79</x:v>
      </x:c>
      <x:c r="F21" s="13" t="n">
        <x:v>46281</x:v>
      </x:c>
      <x:c r="G21" s="2" t="str">
        <x:v>EUR</x:v>
      </x:c>
      <x:c r="H21" s="2"/>
      <x:c r="I21" s="2"/>
      <x:c r="J21" s="2" t="str">
        <x:v>L'Oréal</x:v>
      </x:c>
      <x:c r="K21" s="2" t="str">
        <x:v>Détachement du dividende 29/04/2026, hors période</x:v>
      </x:c>
      <x:c r="L21" s="2" t="str">
        <x:v>https://www.loreal-finance.com/eng/press-release/annual-general-meeting-24-april-2026</x:v>
      </x:c>
      <x:c r="M21" s="2"/>
      <x:c r="N21" s="2"/>
      <x:c r="O21" s="2"/>
      <x:c r="P21" s="11" t="n">
        <x:v>46297</x:v>
      </x:c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0" customHeight="1">
      <x:c r="A22" s="2"/>
      <x:c r="B22" s="2" t="str">
        <x:v>FR0000120073_2026-09-17</x:v>
      </x:c>
      <x:c r="C22" s="13" t="n">
        <x:v>46282</x:v>
      </x:c>
      <x:c r="D22" s="2" t="str">
        <x:v>FR0000120073</x:v>
      </x:c>
      <x:c r="E22" s="12" t="n">
        <x:v>165.49</x:v>
      </x:c>
      <x:c r="F22" s="13" t="n">
        <x:v>46282</x:v>
      </x:c>
      <x:c r="G22" s="2" t="str">
        <x:v>EUR</x:v>
      </x:c>
      <x:c r="H22" s="2"/>
      <x:c r="I22" s="2"/>
      <x:c r="J22" s="2" t="str">
        <x:v>Vinci</x:v>
      </x:c>
      <x:c r="K22" s="2" t="str">
        <x:v>Détachement de l’acompte 13/10/2026, hors période</x:v>
      </x:c>
      <x:c r="L22" s="2" t="str">
        <x:v>https://rss.globenewswire.com/fr/news-release/2026/07/29/3335498/0/en/vinci-excellent-financial-performance-in-the-first-half-of-2026.html</x:v>
      </x:c>
      <x:c r="M22" s="2"/>
      <x:c r="N22" s="2"/>
      <x:c r="O22" s="2"/>
      <x:c r="P22" s="11" t="n">
        <x:v>46300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0" customHeight="1">
      <x:c r="A23" s="2"/>
      <x:c r="B23" s="2" t="str">
        <x:v>FR0000120321_2026-09-17</x:v>
      </x:c>
      <x:c r="C23" s="13" t="n">
        <x:v>46282</x:v>
      </x:c>
      <x:c r="D23" s="2" t="str">
        <x:v>FR0000120321</x:v>
      </x:c>
      <x:c r="E23" s="12" t="n">
        <x:v>383.97</x:v>
      </x:c>
      <x:c r="F23" s="13" t="n">
        <x:v>46282</x:v>
      </x:c>
      <x:c r="G23" s="2" t="str">
        <x:v>EUR</x:v>
      </x:c>
      <x:c r="H23" s="2"/>
      <x:c r="I23" s="2"/>
      <x:c r="J23" s="2"/>
      <x:c r="K23" s="2"/>
      <x:c r="L23" s="2"/>
      <x:c r="M23" s="2"/>
      <x:c r="N23" s="2"/>
      <x:c r="O23" s="2"/>
      <x:c r="P23" s="11" t="n">
        <x:v>46301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0" customHeight="1">
      <x:c r="A24" s="2"/>
      <x:c r="B24" s="2" t="str">
        <x:v>FR0000120644_2026-09-17</x:v>
      </x:c>
      <x:c r="C24" s="13" t="n">
        <x:v>46282</x:v>
      </x:c>
      <x:c r="D24" s="2" t="str">
        <x:v>FR0000120644</x:v>
      </x:c>
      <x:c r="E24" s="12" t="n">
        <x:v>60.36</x:v>
      </x:c>
      <x:c r="F24" s="13" t="n">
        <x:v>46282</x:v>
      </x:c>
      <x:c r="G24" s="2" t="str">
        <x:v>EUR</x:v>
      </x:c>
      <x:c r="H24" s="2"/>
      <x:c r="I24" s="2"/>
      <x:c r="J24" s="2"/>
      <x:c r="K24" s="2"/>
      <x:c r="L24" s="2"/>
      <x:c r="M24" s="2"/>
      <x:c r="N24" s="2"/>
      <x:c r="O24" s="2"/>
      <x:c r="P24" s="11" t="n">
        <x:v>46302</x:v>
      </x:c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0" customHeight="1">
      <x:c r="A25" s="2"/>
      <x:c r="B25" s="2" t="str">
        <x:v>FR0000121972_2026-09-17</x:v>
      </x:c>
      <x:c r="C25" s="13" t="n">
        <x:v>46282</x:v>
      </x:c>
      <x:c r="D25" s="2" t="str">
        <x:v>FR0000121972</x:v>
      </x:c>
      <x:c r="E25" s="12" t="n">
        <x:v>209.33</x:v>
      </x:c>
      <x:c r="F25" s="13" t="n">
        <x:v>46282</x:v>
      </x:c>
      <x:c r="G25" s="2" t="str">
        <x:v>EUR</x:v>
      </x:c>
      <x:c r="H25" s="2"/>
      <x:c r="I25" s="2"/>
      <x:c r="J25" s="2"/>
      <x:c r="K25" s="2"/>
      <x:c r="L25" s="2"/>
      <x:c r="M25" s="2"/>
      <x:c r="N25" s="2"/>
      <x:c r="O25" s="2"/>
      <x:c r="P25" s="11" t="n">
        <x:v>46303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0" customHeight="1">
      <x:c r="A26" s="2"/>
      <x:c r="B26" s="2" t="str">
        <x:v>FR0000125486_2026-09-17</x:v>
      </x:c>
      <x:c r="C26" s="13" t="n">
        <x:v>46282</x:v>
      </x:c>
      <x:c r="D26" s="2" t="str">
        <x:v>FR0000125486</x:v>
      </x:c>
      <x:c r="E26" s="12" t="n">
        <x:v>115.31</x:v>
      </x:c>
      <x:c r="F26" s="13" t="n">
        <x:v>46282</x:v>
      </x:c>
      <x:c r="G26" s="2" t="str">
        <x:v>EUR</x:v>
      </x:c>
      <x:c r="H26" s="2"/>
      <x:c r="I26" s="2"/>
      <x:c r="J26" s="2"/>
      <x:c r="K26" s="2"/>
      <x:c r="L26" s="2"/>
      <x:c r="M26" s="2"/>
      <x:c r="N26" s="2"/>
      <x:c r="O26" s="2"/>
      <x:c r="P26" s="11" t="n">
        <x:v>46304</x:v>
      </x:c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0" customHeight="1">
      <x:c r="A27" s="2"/>
      <x:c r="B27" s="2" t="str">
        <x:v>FR0000120073_2026-09-18</x:v>
      </x:c>
      <x:c r="C27" s="13" t="n">
        <x:v>46283</x:v>
      </x:c>
      <x:c r="D27" s="2" t="str">
        <x:v>FR0000120073</x:v>
      </x:c>
      <x:c r="E27" s="12" t="n">
        <x:v>166.12</x:v>
      </x:c>
      <x:c r="F27" s="13" t="n">
        <x:v>46283</x:v>
      </x:c>
      <x:c r="G27" s="2" t="str">
        <x:v>EUR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0" customHeight="1">
      <x:c r="A28" s="2"/>
      <x:c r="B28" s="2" t="str">
        <x:v>FR0000120321_2026-09-18</x:v>
      </x:c>
      <x:c r="C28" s="13" t="n">
        <x:v>46283</x:v>
      </x:c>
      <x:c r="D28" s="2" t="str">
        <x:v>FR0000120321</x:v>
      </x:c>
      <x:c r="E28" s="12" t="n">
        <x:v>382.81</x:v>
      </x:c>
      <x:c r="F28" s="13" t="n">
        <x:v>46283</x:v>
      </x:c>
      <x:c r="G28" s="2" t="str">
        <x:v>EUR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0" customHeight="1">
      <x:c r="A29" s="2"/>
      <x:c r="B29" s="2" t="str">
        <x:v>FR0000120644_2026-09-18</x:v>
      </x:c>
      <x:c r="C29" s="13" t="n">
        <x:v>46283</x:v>
      </x:c>
      <x:c r="D29" s="2" t="str">
        <x:v>FR0000120644</x:v>
      </x:c>
      <x:c r="E29" s="12" t="n">
        <x:v>60.83</x:v>
      </x:c>
      <x:c r="F29" s="13" t="n">
        <x:v>46283</x:v>
      </x:c>
      <x:c r="G29" s="2" t="str">
        <x:v>EUR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0" customHeight="1">
      <x:c r="A30" s="2"/>
      <x:c r="B30" s="2" t="str">
        <x:v>FR0000121972_2026-09-18</x:v>
      </x:c>
      <x:c r="C30" s="13" t="n">
        <x:v>46283</x:v>
      </x:c>
      <x:c r="D30" s="2" t="str">
        <x:v>FR0000121972</x:v>
      </x:c>
      <x:c r="E30" s="12" t="n">
        <x:v>208.29</x:v>
      </x:c>
      <x:c r="F30" s="13" t="n">
        <x:v>46283</x:v>
      </x:c>
      <x:c r="G30" s="2" t="str">
        <x:v>EUR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2" t="str">
        <x:v>FR0000125486_2026-09-18</x:v>
      </x:c>
      <x:c r="C31" s="13" t="n">
        <x:v>46283</x:v>
      </x:c>
      <x:c r="D31" s="2" t="str">
        <x:v>FR0000125486</x:v>
      </x:c>
      <x:c r="E31" s="12" t="n">
        <x:v>115.88</x:v>
      </x:c>
      <x:c r="F31" s="13" t="n">
        <x:v>46283</x:v>
      </x:c>
      <x:c r="G31" s="2" t="str">
        <x:v>EUR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0" customHeight="1">
      <x:c r="A32" s="2"/>
      <x:c r="B32" s="2" t="str">
        <x:v>FR0000120073_2026-09-21</x:v>
      </x:c>
      <x:c r="C32" s="13" t="n">
        <x:v>46286</x:v>
      </x:c>
      <x:c r="D32" s="2" t="str">
        <x:v>FR0000120073</x:v>
      </x:c>
      <x:c r="E32" s="12" t="n">
        <x:v>166.75</x:v>
      </x:c>
      <x:c r="F32" s="13" t="n">
        <x:v>46286</x:v>
      </x:c>
      <x:c r="G32" s="2" t="str">
        <x:v>EUR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2" t="str">
        <x:v>FR0000120321_2026-09-21</x:v>
      </x:c>
      <x:c r="C33" s="13" t="n">
        <x:v>46286</x:v>
      </x:c>
      <x:c r="D33" s="2" t="str">
        <x:v>FR0000120321</x:v>
      </x:c>
      <x:c r="E33" s="12" t="n">
        <x:v>382.7</x:v>
      </x:c>
      <x:c r="F33" s="13" t="n">
        <x:v>46286</x:v>
      </x:c>
      <x:c r="G33" s="2" t="str">
        <x:v>EUR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2" t="str">
        <x:v>FR0000120644_2026-09-21</x:v>
      </x:c>
      <x:c r="C34" s="13" t="n">
        <x:v>46286</x:v>
      </x:c>
      <x:c r="D34" s="2" t="str">
        <x:v>FR0000120644</x:v>
      </x:c>
      <x:c r="E34" s="12" t="n">
        <x:v>60.25</x:v>
      </x:c>
      <x:c r="F34" s="13" t="n">
        <x:v>46286</x:v>
      </x:c>
      <x:c r="G34" s="2" t="str">
        <x:v>EUR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2" t="str">
        <x:v>FR0000121972_2026-09-21</x:v>
      </x:c>
      <x:c r="C35" s="13" t="n">
        <x:v>46286</x:v>
      </x:c>
      <x:c r="D35" s="2" t="str">
        <x:v>FR0000121972</x:v>
      </x:c>
      <x:c r="E35" s="12" t="n">
        <x:v>208.3</x:v>
      </x:c>
      <x:c r="F35" s="13" t="n">
        <x:v>46286</x:v>
      </x:c>
      <x:c r="G35" s="2" t="str">
        <x:v>EUR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2" t="str">
        <x:v>FR0000125486_2026-09-21</x:v>
      </x:c>
      <x:c r="C36" s="13" t="n">
        <x:v>46286</x:v>
      </x:c>
      <x:c r="D36" s="2" t="str">
        <x:v>FR0000125486</x:v>
      </x:c>
      <x:c r="E36" s="12" t="n">
        <x:v>116.45</x:v>
      </x:c>
      <x:c r="F36" s="13" t="n">
        <x:v>46286</x:v>
      </x:c>
      <x:c r="G36" s="2" t="str">
        <x:v>EUR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2" t="str">
        <x:v>FR0000120073_2026-09-22</x:v>
      </x:c>
      <x:c r="C37" s="13" t="n">
        <x:v>46287</x:v>
      </x:c>
      <x:c r="D37" s="2" t="str">
        <x:v>FR0000120073</x:v>
      </x:c>
      <x:c r="E37" s="12" t="n">
        <x:v>166.33</x:v>
      </x:c>
      <x:c r="F37" s="13" t="n">
        <x:v>46287</x:v>
      </x:c>
      <x:c r="G37" s="2" t="str">
        <x:v>EUR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2" t="str">
        <x:v>FR0000120321_2026-09-22</x:v>
      </x:c>
      <x:c r="C38" s="13" t="n">
        <x:v>46287</x:v>
      </x:c>
      <x:c r="D38" s="2" t="str">
        <x:v>FR0000120321</x:v>
      </x:c>
      <x:c r="E38" s="12" t="n">
        <x:v>382.59</x:v>
      </x:c>
      <x:c r="F38" s="13" t="n">
        <x:v>46287</x:v>
      </x:c>
      <x:c r="G38" s="2" t="str">
        <x:v>EUR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2" t="str">
        <x:v>FR0000120644_2026-09-22</x:v>
      </x:c>
      <x:c r="C39" s="13" t="n">
        <x:v>46287</x:v>
      </x:c>
      <x:c r="D39" s="2" t="str">
        <x:v>FR0000120644</x:v>
      </x:c>
      <x:c r="E39" s="12" t="n">
        <x:v>60.72</x:v>
      </x:c>
      <x:c r="F39" s="13" t="n">
        <x:v>46287</x:v>
      </x:c>
      <x:c r="G39" s="2" t="str">
        <x:v>EUR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2" t="str">
        <x:v>FR0000121972_2026-09-22</x:v>
      </x:c>
      <x:c r="C40" s="13" t="n">
        <x:v>46287</x:v>
      </x:c>
      <x:c r="D40" s="2" t="str">
        <x:v>FR0000121972</x:v>
      </x:c>
      <x:c r="E40" s="12" t="n">
        <x:v>208.31</x:v>
      </x:c>
      <x:c r="F40" s="13" t="n">
        <x:v>46287</x:v>
      </x:c>
      <x:c r="G40" s="2" t="str">
        <x:v>EUR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2" t="str">
        <x:v>FR0000125486_2026-09-22</x:v>
      </x:c>
      <x:c r="C41" s="13" t="n">
        <x:v>46287</x:v>
      </x:c>
      <x:c r="D41" s="2" t="str">
        <x:v>FR0000125486</x:v>
      </x:c>
      <x:c r="E41" s="12" t="n">
        <x:v>115.97</x:v>
      </x:c>
      <x:c r="F41" s="13" t="n">
        <x:v>46287</x:v>
      </x:c>
      <x:c r="G41" s="2" t="str">
        <x:v>EUR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2" t="str">
        <x:v>FR0000120073_2026-09-23</x:v>
      </x:c>
      <x:c r="C42" s="13" t="n">
        <x:v>46288</x:v>
      </x:c>
      <x:c r="D42" s="2" t="str">
        <x:v>FR0000120073</x:v>
      </x:c>
      <x:c r="E42" s="12" t="n">
        <x:v>166.96</x:v>
      </x:c>
      <x:c r="F42" s="13" t="n">
        <x:v>46288</x:v>
      </x:c>
      <x:c r="G42" s="2" t="str">
        <x:v>EUR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2" t="str">
        <x:v>FR0000120321_2026-09-23</x:v>
      </x:c>
      <x:c r="C43" s="13" t="n">
        <x:v>46288</x:v>
      </x:c>
      <x:c r="D43" s="2" t="str">
        <x:v>FR0000120321</x:v>
      </x:c>
      <x:c r="E43" s="12" t="n">
        <x:v>381.43</x:v>
      </x:c>
      <x:c r="F43" s="13" t="n">
        <x:v>46288</x:v>
      </x:c>
      <x:c r="G43" s="2" t="str">
        <x:v>EUR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2" t="str">
        <x:v>FR0000120644_2026-09-23</x:v>
      </x:c>
      <x:c r="C44" s="13" t="n">
        <x:v>46288</x:v>
      </x:c>
      <x:c r="D44" s="2" t="str">
        <x:v>FR0000120644</x:v>
      </x:c>
      <x:c r="E44" s="12" t="n">
        <x:v>61.19</x:v>
      </x:c>
      <x:c r="F44" s="13" t="n">
        <x:v>46288</x:v>
      </x:c>
      <x:c r="G44" s="2" t="str">
        <x:v>EUR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2" t="str">
        <x:v>FR0000121972_2026-09-23</x:v>
      </x:c>
      <x:c r="C45" s="13" t="n">
        <x:v>46288</x:v>
      </x:c>
      <x:c r="D45" s="2" t="str">
        <x:v>FR0000121972</x:v>
      </x:c>
      <x:c r="E45" s="12" t="n">
        <x:v>207.27</x:v>
      </x:c>
      <x:c r="F45" s="13" t="n">
        <x:v>46288</x:v>
      </x:c>
      <x:c r="G45" s="2" t="str">
        <x:v>EUR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2" t="str">
        <x:v>FR0000125486_2026-09-23</x:v>
      </x:c>
      <x:c r="C46" s="13" t="n">
        <x:v>46288</x:v>
      </x:c>
      <x:c r="D46" s="2" t="str">
        <x:v>FR0000125486</x:v>
      </x:c>
      <x:c r="E46" s="12" t="n">
        <x:v>116.54</x:v>
      </x:c>
      <x:c r="F46" s="13" t="n">
        <x:v>46288</x:v>
      </x:c>
      <x:c r="G46" s="2" t="str">
        <x:v>EUR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2" t="str">
        <x:v>FR0000120073_2026-09-24</x:v>
      </x:c>
      <x:c r="C47" s="13" t="n">
        <x:v>46289</x:v>
      </x:c>
      <x:c r="D47" s="2" t="str">
        <x:v>FR0000120073</x:v>
      </x:c>
      <x:c r="E47" s="12" t="n">
        <x:v>166.96</x:v>
      </x:c>
      <x:c r="F47" s="13" t="n">
        <x:v>46288</x:v>
      </x:c>
      <x:c r="G47" s="2" t="str">
        <x:v>EUR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2" t="str">
        <x:v>FR0000120321_2026-09-24</x:v>
      </x:c>
      <x:c r="C48" s="13" t="n">
        <x:v>46289</x:v>
      </x:c>
      <x:c r="D48" s="2" t="str">
        <x:v>FR0000120321</x:v>
      </x:c>
      <x:c r="E48" s="12" t="n">
        <x:v>381.32</x:v>
      </x:c>
      <x:c r="F48" s="13" t="n">
        <x:v>46289</x:v>
      </x:c>
      <x:c r="G48" s="2" t="str">
        <x:v>EUR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2" t="str">
        <x:v>FR0000120644_2026-09-24</x:v>
      </x:c>
      <x:c r="C49" s="13" t="n">
        <x:v>46289</x:v>
      </x:c>
      <x:c r="D49" s="2" t="str">
        <x:v>FR0000120644</x:v>
      </x:c>
      <x:c r="E49" s="12" t="n">
        <x:v>60.61</x:v>
      </x:c>
      <x:c r="F49" s="13" t="n">
        <x:v>46289</x:v>
      </x:c>
      <x:c r="G49" s="2" t="str">
        <x:v>EUR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2" t="str">
        <x:v>FR0000121972_2026-09-24</x:v>
      </x:c>
      <x:c r="C50" s="13" t="n">
        <x:v>46289</x:v>
      </x:c>
      <x:c r="D50" s="2" t="str">
        <x:v>FR0000121972</x:v>
      </x:c>
      <x:c r="E50" s="12" t="n">
        <x:v>207.28</x:v>
      </x:c>
      <x:c r="F50" s="13" t="n">
        <x:v>46289</x:v>
      </x:c>
      <x:c r="G50" s="2" t="str">
        <x:v>EUR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2" t="str">
        <x:v>FR0000125486_2026-09-24</x:v>
      </x:c>
      <x:c r="C51" s="13" t="n">
        <x:v>46289</x:v>
      </x:c>
      <x:c r="D51" s="2" t="str">
        <x:v>FR0000125486</x:v>
      </x:c>
      <x:c r="E51" s="12" t="n">
        <x:v>117.11</x:v>
      </x:c>
      <x:c r="F51" s="13" t="n">
        <x:v>46289</x:v>
      </x:c>
      <x:c r="G51" s="2" t="str">
        <x:v>EUR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2" t="str">
        <x:v>FR0000120073_2026-09-25</x:v>
      </x:c>
      <x:c r="C52" s="13" t="n">
        <x:v>46290</x:v>
      </x:c>
      <x:c r="D52" s="2" t="str">
        <x:v>FR0000120073</x:v>
      </x:c>
      <x:c r="E52" s="12" t="n">
        <x:v>167.17</x:v>
      </x:c>
      <x:c r="F52" s="13" t="n">
        <x:v>46290</x:v>
      </x:c>
      <x:c r="G52" s="2" t="str">
        <x:v>EUR</x:v>
      </x:c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2" t="str">
        <x:v>FR0000120321_2026-09-25</x:v>
      </x:c>
      <x:c r="C53" s="13" t="n">
        <x:v>46290</x:v>
      </x:c>
      <x:c r="D53" s="2" t="str">
        <x:v>FR0000120321</x:v>
      </x:c>
      <x:c r="E53" s="12" t="n">
        <x:v>381.21</x:v>
      </x:c>
      <x:c r="F53" s="13" t="n">
        <x:v>46290</x:v>
      </x:c>
      <x:c r="G53" s="2" t="str">
        <x:v>EUR</x:v>
      </x:c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2" t="str">
        <x:v>FR0000120644_2026-09-25</x:v>
      </x:c>
      <x:c r="C54" s="13" t="n">
        <x:v>46290</x:v>
      </x:c>
      <x:c r="D54" s="2" t="str">
        <x:v>FR0000120644</x:v>
      </x:c>
      <x:c r="E54" s="12" t="n">
        <x:v>61.08</x:v>
      </x:c>
      <x:c r="F54" s="13" t="n">
        <x:v>46290</x:v>
      </x:c>
      <x:c r="G54" s="2" t="str">
        <x:v>EUR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2" t="str">
        <x:v>FR0000121972_2026-09-25</x:v>
      </x:c>
      <x:c r="C55" s="13" t="n">
        <x:v>46290</x:v>
      </x:c>
      <x:c r="D55" s="2" t="str">
        <x:v>FR0000121972</x:v>
      </x:c>
      <x:c r="E55" s="12" t="n">
        <x:v>207.29</x:v>
      </x:c>
      <x:c r="F55" s="13" t="n">
        <x:v>46290</x:v>
      </x:c>
      <x:c r="G55" s="2" t="str">
        <x:v>EUR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2" t="str">
        <x:v>FR0000125486_2026-09-25</x:v>
      </x:c>
      <x:c r="C56" s="13" t="n">
        <x:v>46290</x:v>
      </x:c>
      <x:c r="D56" s="2" t="str">
        <x:v>FR0000125486</x:v>
      </x:c>
      <x:c r="E56" s="12" t="n">
        <x:v>116.63</x:v>
      </x:c>
      <x:c r="F56" s="13" t="n">
        <x:v>46290</x:v>
      </x:c>
      <x:c r="G56" s="2" t="str">
        <x:v>EUR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2"/>
      <x:c r="C57" s="13"/>
      <x:c r="D57" s="2"/>
      <x:c r="E57" s="12"/>
      <x:c r="F57" s="13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2"/>
      <x:c r="C58" s="13"/>
      <x:c r="D58" s="2"/>
      <x:c r="E58" s="12"/>
      <x:c r="F58" s="13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2"/>
      <x:c r="C59" s="13"/>
      <x:c r="D59" s="2"/>
      <x:c r="E59" s="12"/>
      <x:c r="F59" s="13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2"/>
      <x:c r="C60" s="13"/>
      <x:c r="D60" s="2"/>
      <x:c r="E60" s="12"/>
      <x:c r="F60" s="13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2"/>
      <x:c r="C61" s="13"/>
      <x:c r="D61" s="2"/>
      <x:c r="E61" s="12"/>
      <x:c r="F61" s="13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2"/>
      <x:c r="C62" s="13"/>
      <x:c r="D62" s="2"/>
      <x:c r="E62" s="12"/>
      <x:c r="F62" s="13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2"/>
      <x:c r="C63" s="13"/>
      <x:c r="D63" s="2"/>
      <x:c r="E63" s="12"/>
      <x:c r="F63" s="13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2"/>
      <x:c r="C64" s="13"/>
      <x:c r="D64" s="2"/>
      <x:c r="E64" s="12"/>
      <x:c r="F64" s="13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2"/>
      <x:c r="C65" s="13"/>
      <x:c r="D65" s="2"/>
      <x:c r="E65" s="12"/>
      <x:c r="F65" s="13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2"/>
      <x:c r="C66" s="13"/>
      <x:c r="D66" s="2"/>
      <x:c r="E66" s="12"/>
      <x:c r="F66" s="13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2"/>
      <x:c r="C67" s="13"/>
      <x:c r="D67" s="2"/>
      <x:c r="E67" s="12"/>
      <x:c r="F67" s="13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2"/>
      <x:c r="C68" s="13"/>
      <x:c r="D68" s="2"/>
      <x:c r="E68" s="12"/>
      <x:c r="F68" s="13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2"/>
      <x:c r="C69" s="13"/>
      <x:c r="D69" s="2"/>
      <x:c r="E69" s="12"/>
      <x:c r="F69" s="13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2"/>
      <x:c r="C70" s="13"/>
      <x:c r="D70" s="2"/>
      <x:c r="E70" s="12"/>
      <x:c r="F70" s="13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2"/>
      <x:c r="C71" s="13"/>
      <x:c r="D71" s="2"/>
      <x:c r="E71" s="12"/>
      <x:c r="F71" s="13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2"/>
      <x:c r="C72" s="13"/>
      <x:c r="D72" s="2"/>
      <x:c r="E72" s="12"/>
      <x:c r="F72" s="13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2"/>
      <x:c r="C73" s="13"/>
      <x:c r="D73" s="2"/>
      <x:c r="E73" s="12"/>
      <x:c r="F73" s="13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2"/>
      <x:c r="C74" s="13"/>
      <x:c r="D74" s="2"/>
      <x:c r="E74" s="12"/>
      <x:c r="F74" s="13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2"/>
      <x:c r="C75" s="13"/>
      <x:c r="D75" s="2"/>
      <x:c r="E75" s="12"/>
      <x:c r="F75" s="13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2"/>
      <x:c r="C76" s="13"/>
      <x:c r="D76" s="2"/>
      <x:c r="E76" s="12"/>
      <x:c r="F76" s="13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2"/>
      <x:c r="C77" s="13"/>
      <x:c r="D77" s="2"/>
      <x:c r="E77" s="12"/>
      <x:c r="F77" s="13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2"/>
      <x:c r="C78" s="13"/>
      <x:c r="D78" s="2"/>
      <x:c r="E78" s="12"/>
      <x:c r="F78" s="13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2"/>
      <x:c r="C79" s="13"/>
      <x:c r="D79" s="2"/>
      <x:c r="E79" s="12"/>
      <x:c r="F79" s="13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2"/>
      <x:c r="C80" s="13"/>
      <x:c r="D80" s="2"/>
      <x:c r="E80" s="12"/>
      <x:c r="F80" s="13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2"/>
      <x:c r="C81" s="13"/>
      <x:c r="D81" s="2"/>
      <x:c r="E81" s="12"/>
      <x:c r="F81" s="13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2"/>
      <x:c r="C82" s="13"/>
      <x:c r="D82" s="2"/>
      <x:c r="E82" s="12"/>
      <x:c r="F82" s="13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2"/>
      <x:c r="C83" s="13"/>
      <x:c r="D83" s="2"/>
      <x:c r="E83" s="12"/>
      <x:c r="F83" s="13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2"/>
      <x:c r="C84" s="13"/>
      <x:c r="D84" s="2"/>
      <x:c r="E84" s="12"/>
      <x:c r="F84" s="13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2"/>
      <x:c r="C85" s="13"/>
      <x:c r="D85" s="2"/>
      <x:c r="E85" s="12"/>
      <x:c r="F85" s="13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2"/>
      <x:c r="C86" s="13"/>
      <x:c r="D86" s="2"/>
      <x:c r="E86" s="12"/>
      <x:c r="F86" s="13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2"/>
      <x:c r="C87" s="13"/>
      <x:c r="D87" s="2"/>
      <x:c r="E87" s="12"/>
      <x:c r="F87" s="13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2"/>
      <x:c r="C88" s="13"/>
      <x:c r="D88" s="2"/>
      <x:c r="E88" s="12"/>
      <x:c r="F88" s="13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2"/>
      <x:c r="C89" s="13"/>
      <x:c r="D89" s="2"/>
      <x:c r="E89" s="12"/>
      <x:c r="F89" s="13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2"/>
      <x:c r="C90" s="13"/>
      <x:c r="D90" s="2"/>
      <x:c r="E90" s="12"/>
      <x:c r="F90" s="13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2"/>
      <x:c r="C91" s="13"/>
      <x:c r="D91" s="2"/>
      <x:c r="E91" s="12"/>
      <x:c r="F91" s="13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2"/>
      <x:c r="C92" s="13"/>
      <x:c r="D92" s="2"/>
      <x:c r="E92" s="12"/>
      <x:c r="F92" s="13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2"/>
      <x:c r="C93" s="13"/>
      <x:c r="D93" s="2"/>
      <x:c r="E93" s="12"/>
      <x:c r="F93" s="13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2"/>
      <x:c r="C94" s="13"/>
      <x:c r="D94" s="2"/>
      <x:c r="E94" s="12"/>
      <x:c r="F94" s="13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2"/>
      <x:c r="C95" s="13"/>
      <x:c r="D95" s="2"/>
      <x:c r="E95" s="12"/>
      <x:c r="F95" s="13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2"/>
      <x:c r="C96" s="13"/>
      <x:c r="D96" s="2"/>
      <x:c r="E96" s="12"/>
      <x:c r="F96" s="13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2"/>
      <x:c r="C97" s="13"/>
      <x:c r="D97" s="2"/>
      <x:c r="E97" s="12"/>
      <x:c r="F97" s="13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2"/>
      <x:c r="C98" s="13"/>
      <x:c r="D98" s="2"/>
      <x:c r="E98" s="12"/>
      <x:c r="F98" s="13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2"/>
      <x:c r="C99" s="13"/>
      <x:c r="D99" s="2"/>
      <x:c r="E99" s="12"/>
      <x:c r="F99" s="13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2"/>
      <x:c r="C100" s="13"/>
      <x:c r="D100" s="2"/>
      <x:c r="E100" s="12"/>
      <x:c r="F100" s="13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2"/>
      <x:c r="C101" s="13"/>
      <x:c r="D101" s="2"/>
      <x:c r="E101" s="12"/>
      <x:c r="F101" s="13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2"/>
      <x:c r="C102" s="13"/>
      <x:c r="D102" s="2"/>
      <x:c r="E102" s="12"/>
      <x:c r="F102" s="13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2"/>
      <x:c r="C103" s="13"/>
      <x:c r="D103" s="2"/>
      <x:c r="E103" s="12"/>
      <x:c r="F103" s="13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2"/>
      <x:c r="C104" s="13"/>
      <x:c r="D104" s="2"/>
      <x:c r="E104" s="12"/>
      <x:c r="F104" s="13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2"/>
      <x:c r="C105" s="13"/>
      <x:c r="D105" s="2"/>
      <x:c r="E105" s="12"/>
      <x:c r="F105" s="13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2"/>
      <x:c r="C106" s="13"/>
      <x:c r="D106" s="2"/>
      <x:c r="E106" s="12"/>
      <x:c r="F106" s="13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pageMargins left="0.7" right="0.7" top="0.75" bottom="0.75" header="0.3" footer="0.3"/>
  <x:tableParts count="4">
    <x:tablePart xmlns:r="http://schemas.openxmlformats.org/officeDocument/2006/relationships" r:id="R1340f3013a8c484e"/>
    <x:tablePart xmlns:r="http://schemas.openxmlformats.org/officeDocument/2006/relationships" r:id="Rf6b26ad0f6304cb4"/>
    <x:tablePart xmlns:r="http://schemas.openxmlformats.org/officeDocument/2006/relationships" r:id="R8f01f80cd3a6495b"/>
    <x:tablePart xmlns:r="http://schemas.openxmlformats.org/officeDocument/2006/relationships" r:id="R03abbf2b29a24e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0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0" customHeight="1">
      <x:c r="A2" s="2"/>
      <x:c r="B2" s="3" t="str">
        <x:v>Guide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0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4" customHeight="1">
      <x:c r="A6" s="2"/>
      <x:c r="B6" s="8" t="str">
        <x:v>Sujet</x:v>
      </x:c>
      <x:c r="C6" s="8" t="str">
        <x:v>Méthode / utilisation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38" customHeight="1">
      <x:c r="A7" s="2"/>
      <x:c r="B7" s="2" t="str">
        <x:v>Objet</x:v>
      </x:c>
      <x:c r="C7" s="29" t="str">
        <x:v>Reconstituer les positions, les espèces et la VL, puis contrôler les états d’un dépositaire simulé.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38" customHeight="1">
      <x:c r="A8" s="2"/>
      <x:c r="B8" s="2" t="str">
        <x:v>Données</x:v>
      </x:c>
      <x:c r="C8" s="29" t="str">
        <x:v>50 clôtures fictives du 14 au 25 septembre 2026. Ordres, exécutions, frais et dépositaire sont simulés.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38" customHeight="1">
      <x:c r="A9" s="2"/>
      <x:c r="B9" s="2" t="str">
        <x:v>Référence</x:v>
      </x:c>
      <x:c r="C9" s="29" t="str">
        <x:v>Les extractions dépositaires et la VL de référence sont calculées et figées avant altération des données internes.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38" customHeight="1">
      <x:c r="A10" s="2"/>
      <x:c r="B10" s="2" t="str">
        <x:v>Négociation</x:v>
      </x:c>
      <x:c r="C10" s="29" t="str">
        <x:v>Les achats et ventes modifient les positions économiques à la date de négociation.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38" customHeight="1">
      <x:c r="A11" s="2"/>
      <x:c r="B11" s="2" t="str">
        <x:v>Règlement</x:v>
      </x:c>
      <x:c r="C11" s="29" t="str">
        <x:v>Seule la date effective modifie les positions réglées et les espèces. T+2 détermine la date contractuelle.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38" customHeight="1">
      <x:c r="A12" s="2"/>
      <x:c r="B12" s="2" t="str">
        <x:v>Créances et dettes</x:v>
      </x:c>
      <x:c r="C12" s="29" t="str">
        <x:v>Les ventes non réglées sont des créances. Les achats non réglés sont des dettes, courtage inclus.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38" customHeight="1">
      <x:c r="A13" s="2"/>
      <x:c r="B13" s="2" t="str">
        <x:v>Courtage</x:v>
      </x:c>
      <x:c r="C13" s="29" t="str">
        <x:v>5 EUR par opération, intégré au montant net à régler. Aucune seconde déduction dans la VL.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38" customHeight="1">
      <x:c r="A14" s="2"/>
      <x:c r="B14" s="2" t="str">
        <x:v>Charges</x:v>
      </x:c>
      <x:c r="C14" s="29" t="str">
        <x:v>10 EUR par jour calendaire depuis le 14/09 inclus, non décaissés. Le week-end est inclus au lundi.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38" customHeight="1">
      <x:c r="A15" s="2"/>
      <x:c r="B15" s="2" t="str">
        <x:v>VL</x:v>
      </x:c>
      <x:c r="C15" s="29" t="str">
        <x:v>Titres économiques + espèces + créances ventes - dettes achats - charges à payer, divisé par les parts.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38" customHeight="1">
      <x:c r="A16" s="2"/>
      <x:c r="B16" s="2" t="str">
        <x:v>Contrôle des prix</x:v>
      </x:c>
      <x:c r="C16" s="29" t="str">
        <x:v>Un cours absent, dupliqué, non positif ou daté d’un autre jour rend la valorisation indisponible.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38" customHeight="1">
      <x:c r="A17" s="2"/>
      <x:c r="B17" s="2" t="str">
        <x:v>Retards</x:v>
      </x:c>
      <x:c r="C17" s="29" t="str">
        <x:v>À la clôture de la date prévue, une livraison non confirmée est signalée. Le retard ne supprime pas la créance ou dette.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38" customHeight="1">
      <x:c r="A18" s="2"/>
      <x:c r="B18" s="2" t="str">
        <x:v>Imports</x:v>
      </x:c>
      <x:c r="C18" s="29" t="str">
        <x:v>Le dossier Pilotage!B57 contient les CSV. Paramétrer le dossier, confirmer NON en C13, puis Actualiser tout.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38" customHeight="1">
      <x:c r="A19" s="2"/>
      <x:c r="B19" s="2" t="str">
        <x:v>Fin de chargement</x:v>
      </x:c>
      <x:c r="C19" s="29" t="str">
        <x:v>Attendre la fin des requêtes, vérifier le volet des erreurs, puis choisir OUI en C13. Le résultat porte sur les données chargées.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38" customHeight="1">
      <x:c r="A20" s="2"/>
      <x:c r="B20" s="2" t="str">
        <x:v>Corrections</x:v>
      </x:c>
      <x:c r="C20" s="29" t="str">
        <x:v>Corrigé livré au 25/09 avec cinq corrections OUI et les six investigations documentées. Pour rejouer : date 24/09 et cinq corrections NON.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38" customHeight="1">
      <x:c r="A21" s="2"/>
      <x:c r="B21" s="2" t="str">
        <x:v>Doublons</x:v>
      </x:c>
      <x:c r="C21" s="29" t="str">
        <x:v>Les lignes dupliquées restent visibles. L’exclusion est explicite et conserve RecordID et TradeID.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38" customHeight="1">
      <x:c r="A22" s="2"/>
      <x:c r="B22" s="2" t="str">
        <x:v>Clôture</x:v>
      </x:c>
      <x:c r="C22" s="29" t="str">
        <x:v>Clôturée dans le journal n’efface jamais un contrôle en échec. Renseigner preuve, action et date.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38" customHeight="1">
      <x:c r="A23" s="2"/>
      <x:c r="B23" s="2" t="str">
        <x:v>TCD</x:v>
      </x:c>
      <x:c r="C23" s="29" t="str">
        <x:v>Actualiser le tableau croisé après changement de date ou de correction. Les compteurs principaux sont des formules en temps réel.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38" customHeight="1">
      <x:c r="A24" s="2"/>
      <x:c r="B24" s="2" t="str">
        <x:v>Extension</x:v>
      </x:c>
      <x:c r="C24" s="29" t="str">
        <x:v>Capacité préparée : 60 lignes brutes de transactions, 10 ajouts, 20 dates et 100 prix/positions. Ajouter un 11e jour puis Actualiser tout.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38" customHeight="1">
      <x:c r="A25" s="2"/>
      <x:c r="B25" s="2" t="str">
        <x:v>Limite de capacité</x:v>
      </x:c>
      <x:c r="C25" s="29" t="str">
        <x:v>Au-delà de ces bornes, étendre les plages et formules. Une alerte de capacité doit être revue avant toute extension.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38" customHeight="1">
      <x:c r="A26" s="2"/>
      <x:c r="B26" s="2" t="str">
        <x:v>Exercice propre</x:v>
      </x:c>
      <x:c r="C26" s="29" t="str">
        <x:v>Remplacer le dernier dossier investigation par propre, actualiser, garder les corrections NON et sélectionner le 24/09.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38" customHeight="1">
      <x:c r="A27" s="2"/>
      <x:c r="B27" s="2" t="str">
        <x:v>Exercice anomalies</x:v>
      </x:c>
      <x:c r="C27" s="29" t="str">
        <x:v>Revenir au dossier investigation, actualiser et choisir le 24/09. Six incidents sont proposés.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38" customHeight="1">
      <x:c r="A28" s="2"/>
      <x:c r="B28" s="2" t="str">
        <x:v>Résolution</x:v>
      </x:c>
      <x:c r="C28" s="29" t="str">
        <x:v>Appliquer les cinq corrections justifiées. Le retard TR-017 reste actif au 24/09 et cesse au 25/09.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38" customHeight="1">
      <x:c r="A29" s="2"/>
      <x:c r="B29" s="2" t="str">
        <x:v>Vocabulaire</x:v>
      </x:c>
      <x:c r="C29" s="29" t="str">
        <x:v>Trade date : négociation. Settlement : règlement-livraison. Custodian : dépositaire. NAV per unit : VL.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38" customHeight="1">
      <x:c r="A30" s="2"/>
      <x:c r="B30" s="2" t="str">
        <x:v>Sources normatives</x:v>
      </x:c>
      <x:c r="C30" s="29" t="str">
        <x:v>IFRS 9 B3.1.5, méthode en date de négociation. La simulation ne reproduit pas l’intégralité de la comptabilité réglementaire d’un OPCVM.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  <x:row r="202" ht="2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</x:row>
    <x:row r="203" ht="2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</x:row>
    <x:row r="204" ht="2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</x:row>
    <x:row r="205" ht="2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</x:row>
    <x:row r="206" ht="2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</x:row>
    <x:row r="207" ht="2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</x:row>
    <x:row r="208" ht="2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</x:row>
    <x:row r="209" ht="2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</x:row>
    <x:row r="210" ht="2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</x:row>
    <x:row r="211" ht="2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</x:row>
    <x:row r="212" ht="2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</x:row>
    <x:row r="213" ht="2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</x:row>
    <x:row r="214" ht="2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</x:row>
    <x:row r="215" ht="2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</x:row>
    <x:row r="216" ht="2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</x:row>
    <x:row r="217" ht="2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</x:row>
    <x:row r="218" ht="2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</x:row>
    <x:row r="219" ht="2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</x:row>
    <x:row r="220" ht="2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</x:row>
    <x:row r="221" ht="2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</x:row>
    <x:row r="222" ht="2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</x:row>
    <x:row r="223" ht="2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</x:row>
    <x:row r="224" ht="2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</x:row>
    <x:row r="225" ht="2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</x:row>
    <x:row r="226" ht="2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</x:row>
    <x:row r="227" ht="2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</x:row>
    <x:row r="228" ht="2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</x:row>
    <x:row r="229" ht="2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</x:row>
    <x:row r="230" ht="2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</x:row>
    <x:row r="231" ht="2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</x:row>
    <x:row r="233" ht="2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</x:row>
    <x:row r="235" ht="2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</x:row>
    <x:row r="236" ht="2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</x:row>
    <x:row r="237" ht="2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</x:row>
    <x:row r="238" ht="2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</x:row>
    <x:row r="239" ht="2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</x:row>
    <x:row r="240" ht="2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</x:row>
    <x:row r="241" ht="2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</x:row>
    <x:row r="242" ht="2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</x:row>
    <x:row r="243" ht="2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</x:row>
    <x:row r="244" ht="2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</x:row>
    <x:row r="245" ht="2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</x:row>
    <x:row r="246" ht="2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</x:row>
    <x:row r="247" ht="2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</x:row>
    <x:row r="248" ht="2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</x:row>
    <x:row r="249" ht="2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</x:row>
    <x:row r="250" ht="2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</x:row>
    <x:row r="252" ht="20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</x:row>
    <x:row r="253" ht="20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</x:row>
    <x:row r="254" ht="20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</x:row>
    <x:row r="255" ht="20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</x:row>
    <x:row r="257" ht="20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</x:row>
    <x:row r="258" ht="20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</x:row>
    <x:row r="259" ht="20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</x:row>
    <x:row r="260" ht="20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</x:row>
    <x:row r="261" ht="20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</x:row>
    <x:row r="263" ht="20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</x:row>
    <x:row r="264" ht="20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</x:row>
    <x:row r="266" ht="20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</x:row>
    <x:row r="267" ht="20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</x:row>
    <x:row r="268" ht="20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</x:row>
    <x:row r="269" ht="20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</x:row>
    <x:row r="270" ht="20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</x:row>
    <x:row r="271" ht="20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</x:row>
    <x:row r="272" ht="20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</x:row>
    <x:row r="273" ht="20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</x:row>
    <x:row r="274" ht="20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</x:row>
    <x:row r="275" ht="20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</x:row>
    <x:row r="276" ht="20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</x:row>
    <x:row r="277" ht="20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</x:row>
    <x:row r="278" ht="20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</x:row>
    <x:row r="279" ht="20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</x:row>
    <x:row r="280" ht="20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</x:row>
    <x:row r="281" ht="20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</x:row>
    <x:row r="282" ht="20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</x:row>
    <x:row r="283" ht="20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</x:row>
    <x:row r="284" ht="20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</x:row>
    <x:row r="285" ht="20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</x:row>
    <x:row r="286" ht="20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</x:row>
    <x:row r="287" ht="20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</x:row>
    <x:row r="288" ht="20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</x:row>
    <x:row r="289" ht="20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</x:row>
    <x:row r="290" ht="20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</x:row>
    <x:row r="291" ht="20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</x:row>
    <x:row r="292" ht="20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</x:row>
    <x:row r="293" ht="20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</x:row>
    <x:row r="294" ht="20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</x:row>
    <x:row r="295" ht="20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</x:row>
    <x:row r="296" ht="20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</x:row>
    <x:row r="297" ht="20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</x:row>
    <x:row r="298" ht="20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</x:row>
    <x:row r="299" ht="20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</x:row>
    <x:row r="300" ht="20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</x:row>
    <x:row r="301" ht="20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</x:row>
    <x:row r="302" ht="20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</x:row>
    <x:row r="303" ht="20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</x:row>
    <x:row r="304" ht="20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</x:row>
    <x:row r="305" ht="20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</x:row>
    <x:row r="306" ht="20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</x:row>
    <x:row r="307" ht="20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</x:row>
    <x:row r="308" ht="20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</x:row>
    <x:row r="309" ht="20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</x:row>
    <x:row r="310" ht="20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</x:row>
    <x:row r="311" ht="20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</x:row>
    <x:row r="312" ht="20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</x:row>
    <x:row r="313" ht="20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</x:row>
    <x:row r="314" ht="20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</x:row>
    <x:row r="315" ht="20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</x:row>
    <x:row r="316" ht="20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</x:row>
    <x:row r="317" ht="20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</x:row>
    <x:row r="318" ht="20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</x:row>
    <x:row r="319" ht="20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</x:row>
    <x:row r="320" ht="20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</x:row>
    <x:row r="321" ht="20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</x:row>
    <x:row r="322" ht="20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</x:row>
    <x:row r="323" ht="20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</x:row>
    <x:row r="324" ht="20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</x:row>
    <x:row r="325" ht="20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</x:row>
    <x:row r="326" ht="20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</x:row>
    <x:row r="327" ht="20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</x:row>
    <x:row r="328" ht="20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</x:row>
    <x:row r="329" ht="20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</x:row>
    <x:row r="330" ht="20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</x:row>
  </x:sheetData>
  <x:pageMargins left="0.7" right="0.7" top="0.75" bottom="0.75" header="0.3" footer="0.3"/>
</x: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11B1D-E99F-486B-BEC0-6A6B9E5974AF}">
  <ds:schemaRefs>
    <ds:schemaRef ds:uri="http://schemas.microsoft.com/DataMashup"/>
  </ds:schemaRefs>
</ds:datastoreItem>
</file>